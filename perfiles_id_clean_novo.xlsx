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anil\Box Sync\ANC\chile\"/>
    </mc:Choice>
  </mc:AlternateContent>
  <xr:revisionPtr revIDLastSave="0" documentId="13_ncr:1_{FF49952A-5938-4120-907D-3180E717E1D9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clean" sheetId="6" r:id="rId1"/>
    <sheet name="partidos_indep" sheetId="11" r:id="rId2"/>
    <sheet name="ref" sheetId="7" r:id="rId3"/>
    <sheet name="pacto" sheetId="18" r:id="rId4"/>
    <sheet name="perfiles" sheetId="1" r:id="rId5"/>
    <sheet name="VOTACIONES POR INFORME Y NS" sheetId="2" r:id="rId6"/>
    <sheet name="apellido_nombre" sheetId="3" r:id="rId7"/>
    <sheet name="all" sheetId="4" r:id="rId8"/>
    <sheet name="inp_ip_mp" sheetId="17" r:id="rId9"/>
    <sheet name="inp" sheetId="12" r:id="rId10"/>
    <sheet name="ip" sheetId="13" r:id="rId11"/>
    <sheet name="mp" sheetId="15" r:id="rId12"/>
  </sheets>
  <definedNames>
    <definedName name="_xlnm._FilterDatabase" localSheetId="6" hidden="1">apellido_nombre!$A$1:$J$1</definedName>
    <definedName name="_xlnm._FilterDatabase" localSheetId="0" hidden="1">clean!$A$1:$L$156</definedName>
    <definedName name="_xlnm._FilterDatabase" localSheetId="5" hidden="1">'VOTACIONES POR INFORME Y NS'!$A$1:$N$1079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2" i="6"/>
  <c r="L33" i="15"/>
  <c r="L37" i="15"/>
  <c r="K53" i="15"/>
  <c r="H53" i="15"/>
  <c r="G53" i="15"/>
  <c r="K52" i="15"/>
  <c r="H52" i="15"/>
  <c r="G52" i="15"/>
  <c r="K51" i="15"/>
  <c r="L51" i="15" s="1"/>
  <c r="H51" i="15"/>
  <c r="G51" i="15"/>
  <c r="K50" i="15"/>
  <c r="H50" i="15"/>
  <c r="G50" i="15"/>
  <c r="K49" i="15"/>
  <c r="H49" i="15"/>
  <c r="G49" i="15"/>
  <c r="K48" i="15"/>
  <c r="H48" i="15"/>
  <c r="G48" i="15"/>
  <c r="K47" i="15"/>
  <c r="H47" i="15"/>
  <c r="G47" i="15"/>
  <c r="K46" i="15"/>
  <c r="H46" i="15"/>
  <c r="G46" i="15"/>
  <c r="K45" i="15"/>
  <c r="H45" i="15"/>
  <c r="G45" i="15"/>
  <c r="H44" i="15"/>
  <c r="G44" i="15"/>
  <c r="K43" i="15"/>
  <c r="L43" i="15" s="1"/>
  <c r="H43" i="15"/>
  <c r="G43" i="15"/>
  <c r="K42" i="15"/>
  <c r="H42" i="15"/>
  <c r="G42" i="15"/>
  <c r="K41" i="15"/>
  <c r="H41" i="15"/>
  <c r="G41" i="15"/>
  <c r="K40" i="15"/>
  <c r="L40" i="15" s="1"/>
  <c r="H40" i="15"/>
  <c r="G40" i="15"/>
  <c r="K39" i="15"/>
  <c r="H39" i="15"/>
  <c r="G39" i="15"/>
  <c r="K38" i="15"/>
  <c r="L38" i="15" s="1"/>
  <c r="H38" i="15"/>
  <c r="G38" i="15"/>
  <c r="K37" i="15"/>
  <c r="H37" i="15"/>
  <c r="G37" i="15"/>
  <c r="K36" i="15"/>
  <c r="L36" i="15" s="1"/>
  <c r="H36" i="15"/>
  <c r="G36" i="15"/>
  <c r="K35" i="15"/>
  <c r="L35" i="15" s="1"/>
  <c r="H35" i="15"/>
  <c r="G35" i="15"/>
  <c r="K34" i="15"/>
  <c r="H34" i="15"/>
  <c r="G34" i="15"/>
  <c r="K33" i="15"/>
  <c r="H33" i="15"/>
  <c r="G33" i="15"/>
  <c r="K32" i="15"/>
  <c r="L32" i="15" s="1"/>
  <c r="H32" i="15"/>
  <c r="G32" i="15"/>
  <c r="K31" i="15"/>
  <c r="H31" i="15"/>
  <c r="G31" i="15"/>
  <c r="K30" i="15"/>
  <c r="H30" i="15"/>
  <c r="G30" i="15"/>
  <c r="K29" i="15"/>
  <c r="H29" i="15"/>
  <c r="G29" i="15"/>
  <c r="K28" i="15"/>
  <c r="L28" i="15" s="1"/>
  <c r="H28" i="15"/>
  <c r="G28" i="15"/>
  <c r="K27" i="15"/>
  <c r="L27" i="15" s="1"/>
  <c r="H27" i="15"/>
  <c r="G27" i="15"/>
  <c r="K26" i="15"/>
  <c r="H26" i="15"/>
  <c r="G26" i="15"/>
  <c r="K25" i="15"/>
  <c r="H25" i="15"/>
  <c r="G25" i="15"/>
  <c r="K24" i="15"/>
  <c r="L24" i="15" s="1"/>
  <c r="H24" i="15"/>
  <c r="G24" i="15"/>
  <c r="K23" i="15"/>
  <c r="L23" i="15" s="1"/>
  <c r="H23" i="15"/>
  <c r="G23" i="15"/>
  <c r="K22" i="15"/>
  <c r="H22" i="15"/>
  <c r="G22" i="15"/>
  <c r="K21" i="15"/>
  <c r="H21" i="15"/>
  <c r="G21" i="15"/>
  <c r="K20" i="15"/>
  <c r="L20" i="15" s="1"/>
  <c r="H20" i="15"/>
  <c r="G20" i="15"/>
  <c r="K19" i="15"/>
  <c r="L19" i="15" s="1"/>
  <c r="H19" i="15"/>
  <c r="G19" i="15"/>
  <c r="K18" i="15"/>
  <c r="H18" i="15"/>
  <c r="G18" i="15"/>
  <c r="K17" i="15"/>
  <c r="H17" i="15"/>
  <c r="G17" i="15"/>
  <c r="K16" i="15"/>
  <c r="L16" i="15" s="1"/>
  <c r="H16" i="15"/>
  <c r="G16" i="15"/>
  <c r="K15" i="15"/>
  <c r="L15" i="15" s="1"/>
  <c r="H15" i="15"/>
  <c r="G15" i="15"/>
  <c r="K14" i="15"/>
  <c r="H14" i="15"/>
  <c r="G14" i="15"/>
  <c r="K13" i="15"/>
  <c r="H13" i="15"/>
  <c r="G13" i="15"/>
  <c r="K12" i="15"/>
  <c r="L12" i="15" s="1"/>
  <c r="H12" i="15"/>
  <c r="G12" i="15"/>
  <c r="K11" i="15"/>
  <c r="H11" i="15"/>
  <c r="G11" i="15"/>
  <c r="K10" i="15"/>
  <c r="L10" i="15" s="1"/>
  <c r="H10" i="15"/>
  <c r="G10" i="15"/>
  <c r="K9" i="15"/>
  <c r="H9" i="15"/>
  <c r="G9" i="15"/>
  <c r="K8" i="15"/>
  <c r="L8" i="15" s="1"/>
  <c r="H8" i="15"/>
  <c r="G8" i="15"/>
  <c r="K7" i="15"/>
  <c r="L7" i="15" s="1"/>
  <c r="H7" i="15"/>
  <c r="G7" i="15"/>
  <c r="K6" i="15"/>
  <c r="H6" i="15"/>
  <c r="G6" i="15"/>
  <c r="K5" i="15"/>
  <c r="H5" i="15"/>
  <c r="G5" i="15"/>
  <c r="H4" i="15"/>
  <c r="G4" i="15"/>
  <c r="K3" i="15"/>
  <c r="H3" i="15"/>
  <c r="G3" i="15"/>
  <c r="K2" i="15"/>
  <c r="H2" i="15"/>
  <c r="G2" i="15"/>
  <c r="M11" i="13"/>
  <c r="M15" i="13"/>
  <c r="M19" i="13"/>
  <c r="M27" i="13"/>
  <c r="M31" i="13"/>
  <c r="M36" i="13"/>
  <c r="M39" i="13"/>
  <c r="M43" i="13"/>
  <c r="L49" i="13"/>
  <c r="I49" i="13"/>
  <c r="H49" i="13"/>
  <c r="L48" i="13"/>
  <c r="I48" i="13"/>
  <c r="H48" i="13"/>
  <c r="L47" i="13"/>
  <c r="I47" i="13"/>
  <c r="H47" i="13"/>
  <c r="L46" i="13"/>
  <c r="I46" i="13"/>
  <c r="H46" i="13"/>
  <c r="L45" i="13"/>
  <c r="M45" i="13" s="1"/>
  <c r="I45" i="13"/>
  <c r="H45" i="13"/>
  <c r="L44" i="13"/>
  <c r="I44" i="13"/>
  <c r="H44" i="13"/>
  <c r="L43" i="13"/>
  <c r="I43" i="13"/>
  <c r="H43" i="13"/>
  <c r="L42" i="13"/>
  <c r="I42" i="13"/>
  <c r="H42" i="13"/>
  <c r="L41" i="13"/>
  <c r="I41" i="13"/>
  <c r="H41" i="13"/>
  <c r="L40" i="13"/>
  <c r="I40" i="13"/>
  <c r="H40" i="13"/>
  <c r="L39" i="13"/>
  <c r="I39" i="13"/>
  <c r="H39" i="13"/>
  <c r="L38" i="13"/>
  <c r="M38" i="13" s="1"/>
  <c r="I38" i="13"/>
  <c r="H38" i="13"/>
  <c r="L37" i="13"/>
  <c r="I37" i="13"/>
  <c r="H37" i="13"/>
  <c r="L36" i="13"/>
  <c r="I36" i="13"/>
  <c r="H36" i="13"/>
  <c r="L35" i="13"/>
  <c r="I35" i="13"/>
  <c r="H35" i="13"/>
  <c r="L34" i="13"/>
  <c r="M34" i="13" s="1"/>
  <c r="I34" i="13"/>
  <c r="H34" i="13"/>
  <c r="L33" i="13"/>
  <c r="I33" i="13"/>
  <c r="H33" i="13"/>
  <c r="L32" i="13"/>
  <c r="M32" i="13" s="1"/>
  <c r="I32" i="13"/>
  <c r="H32" i="13"/>
  <c r="L31" i="13"/>
  <c r="I31" i="13"/>
  <c r="H31" i="13"/>
  <c r="L30" i="13"/>
  <c r="M30" i="13" s="1"/>
  <c r="I30" i="13"/>
  <c r="H30" i="13"/>
  <c r="L29" i="13"/>
  <c r="M29" i="13" s="1"/>
  <c r="I29" i="13"/>
  <c r="H29" i="13"/>
  <c r="L28" i="13"/>
  <c r="I28" i="13"/>
  <c r="H28" i="13"/>
  <c r="L27" i="13"/>
  <c r="I27" i="13"/>
  <c r="H27" i="13"/>
  <c r="L26" i="13"/>
  <c r="M26" i="13" s="1"/>
  <c r="I26" i="13"/>
  <c r="H26" i="13"/>
  <c r="L25" i="13"/>
  <c r="I25" i="13"/>
  <c r="H25" i="13"/>
  <c r="L24" i="13"/>
  <c r="I24" i="13"/>
  <c r="H24" i="13"/>
  <c r="L23" i="13"/>
  <c r="I23" i="13"/>
  <c r="H23" i="13"/>
  <c r="L22" i="13"/>
  <c r="M22" i="13" s="1"/>
  <c r="I22" i="13"/>
  <c r="H22" i="13"/>
  <c r="L21" i="13"/>
  <c r="I21" i="13"/>
  <c r="H21" i="13"/>
  <c r="L20" i="13"/>
  <c r="I20" i="13"/>
  <c r="H20" i="13"/>
  <c r="L19" i="13"/>
  <c r="I19" i="13"/>
  <c r="H19" i="13"/>
  <c r="L18" i="13"/>
  <c r="M18" i="13" s="1"/>
  <c r="I18" i="13"/>
  <c r="H18" i="13"/>
  <c r="L17" i="13"/>
  <c r="M17" i="13" s="1"/>
  <c r="I17" i="13"/>
  <c r="H17" i="13"/>
  <c r="L16" i="13"/>
  <c r="I16" i="13"/>
  <c r="H16" i="13"/>
  <c r="L15" i="13"/>
  <c r="I15" i="13"/>
  <c r="H15" i="13"/>
  <c r="L14" i="13"/>
  <c r="M14" i="13" s="1"/>
  <c r="I14" i="13"/>
  <c r="H14" i="13"/>
  <c r="L13" i="13"/>
  <c r="I13" i="13"/>
  <c r="H13" i="13"/>
  <c r="L12" i="13"/>
  <c r="I12" i="13"/>
  <c r="H12" i="13"/>
  <c r="L11" i="13"/>
  <c r="I11" i="13"/>
  <c r="H11" i="13"/>
  <c r="L10" i="13"/>
  <c r="M10" i="13" s="1"/>
  <c r="I10" i="13"/>
  <c r="H10" i="13"/>
  <c r="L9" i="13"/>
  <c r="I9" i="13"/>
  <c r="H9" i="13"/>
  <c r="L8" i="13"/>
  <c r="I8" i="13"/>
  <c r="H8" i="13"/>
  <c r="L7" i="13"/>
  <c r="I7" i="13"/>
  <c r="H7" i="13"/>
  <c r="L6" i="13"/>
  <c r="M6" i="13" s="1"/>
  <c r="I6" i="13"/>
  <c r="H6" i="13"/>
  <c r="L5" i="13"/>
  <c r="I5" i="13"/>
  <c r="H5" i="13"/>
  <c r="L4" i="13"/>
  <c r="I4" i="13"/>
  <c r="H4" i="13"/>
  <c r="L3" i="13"/>
  <c r="I3" i="13"/>
  <c r="H3" i="13"/>
  <c r="L2" i="13"/>
  <c r="I2" i="13"/>
  <c r="H2" i="13"/>
  <c r="L3" i="12"/>
  <c r="L4" i="12"/>
  <c r="L6" i="12"/>
  <c r="L8" i="12"/>
  <c r="L15" i="12"/>
  <c r="L24" i="12"/>
  <c r="L31" i="12"/>
  <c r="L35" i="12"/>
  <c r="L48" i="12"/>
  <c r="L52" i="12"/>
  <c r="L54" i="12"/>
  <c r="L55" i="12"/>
  <c r="L56" i="12"/>
  <c r="H56" i="12"/>
  <c r="G56" i="12"/>
  <c r="H55" i="12"/>
  <c r="G55" i="12"/>
  <c r="H54" i="12"/>
  <c r="G54" i="12"/>
  <c r="H53" i="12"/>
  <c r="G53" i="12"/>
  <c r="H52" i="12"/>
  <c r="G52" i="12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G7" i="12"/>
  <c r="H6" i="12"/>
  <c r="G6" i="12"/>
  <c r="H5" i="12"/>
  <c r="G5" i="12"/>
  <c r="H4" i="12"/>
  <c r="G4" i="12"/>
  <c r="H3" i="12"/>
  <c r="G3" i="12"/>
  <c r="H2" i="12"/>
  <c r="G2" i="12"/>
  <c r="I17" i="11"/>
  <c r="G3" i="11"/>
  <c r="G4" i="11"/>
  <c r="G5" i="11"/>
  <c r="G6" i="11"/>
  <c r="G7" i="11"/>
  <c r="G8" i="11"/>
  <c r="G9" i="11"/>
  <c r="G10" i="11"/>
  <c r="G11" i="11"/>
  <c r="G12" i="11"/>
  <c r="I14" i="11" s="1"/>
  <c r="G13" i="11"/>
  <c r="G14" i="11"/>
  <c r="G15" i="11"/>
  <c r="G16" i="11"/>
  <c r="G17" i="11"/>
  <c r="I18" i="11" s="1"/>
  <c r="G18" i="11"/>
  <c r="G19" i="11"/>
  <c r="I20" i="11" s="1"/>
  <c r="G20" i="11"/>
  <c r="G21" i="11"/>
  <c r="G22" i="11"/>
  <c r="I22" i="11" s="1"/>
  <c r="G23" i="11"/>
  <c r="G24" i="11"/>
  <c r="G25" i="11"/>
  <c r="G26" i="11"/>
  <c r="G27" i="11"/>
  <c r="G2" i="11"/>
  <c r="I27" i="11" s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2" i="6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O3" i="4"/>
  <c r="L2" i="12" s="1"/>
  <c r="O4" i="4"/>
  <c r="M3" i="13" s="1"/>
  <c r="O5" i="4"/>
  <c r="O6" i="4"/>
  <c r="O7" i="4"/>
  <c r="O8" i="4"/>
  <c r="L5" i="12" s="1"/>
  <c r="O9" i="4"/>
  <c r="O10" i="4"/>
  <c r="O11" i="4"/>
  <c r="O12" i="4"/>
  <c r="L7" i="12" s="1"/>
  <c r="O13" i="4"/>
  <c r="O14" i="4"/>
  <c r="O15" i="4"/>
  <c r="M7" i="13" s="1"/>
  <c r="O16" i="4"/>
  <c r="O17" i="4"/>
  <c r="L5" i="15" s="1"/>
  <c r="O18" i="4"/>
  <c r="O19" i="4"/>
  <c r="O20" i="4"/>
  <c r="L9" i="12" s="1"/>
  <c r="O21" i="4"/>
  <c r="O22" i="4"/>
  <c r="O23" i="4"/>
  <c r="O24" i="4"/>
  <c r="L10" i="12" s="1"/>
  <c r="O25" i="4"/>
  <c r="O26" i="4"/>
  <c r="O27" i="4"/>
  <c r="O28" i="4"/>
  <c r="L11" i="12" s="1"/>
  <c r="O29" i="4"/>
  <c r="O30" i="4"/>
  <c r="O31" i="4"/>
  <c r="O32" i="4"/>
  <c r="L12" i="12" s="1"/>
  <c r="O33" i="4"/>
  <c r="O34" i="4"/>
  <c r="O35" i="4"/>
  <c r="O36" i="4"/>
  <c r="O37" i="4"/>
  <c r="L13" i="12" s="1"/>
  <c r="O38" i="4"/>
  <c r="O39" i="4"/>
  <c r="L9" i="15" s="1"/>
  <c r="O40" i="4"/>
  <c r="O41" i="4"/>
  <c r="L14" i="12" s="1"/>
  <c r="O42" i="4"/>
  <c r="O43" i="4"/>
  <c r="O44" i="4"/>
  <c r="O45" i="4"/>
  <c r="O46" i="4"/>
  <c r="O47" i="4"/>
  <c r="L13" i="15" s="1"/>
  <c r="O48" i="4"/>
  <c r="O49" i="4"/>
  <c r="L16" i="12" s="1"/>
  <c r="O50" i="4"/>
  <c r="L17" i="12" s="1"/>
  <c r="O51" i="4"/>
  <c r="L18" i="12" s="1"/>
  <c r="O52" i="4"/>
  <c r="L19" i="12" s="1"/>
  <c r="O53" i="4"/>
  <c r="O54" i="4"/>
  <c r="O55" i="4"/>
  <c r="O56" i="4"/>
  <c r="L20" i="12" s="1"/>
  <c r="O57" i="4"/>
  <c r="O58" i="4"/>
  <c r="L21" i="12" s="1"/>
  <c r="O59" i="4"/>
  <c r="M23" i="13" s="1"/>
  <c r="O60" i="4"/>
  <c r="L23" i="12" s="1"/>
  <c r="O61" i="4"/>
  <c r="L22" i="12" s="1"/>
  <c r="O62" i="4"/>
  <c r="O63" i="4"/>
  <c r="L17" i="15" s="1"/>
  <c r="O64" i="4"/>
  <c r="L25" i="12" s="1"/>
  <c r="O65" i="4"/>
  <c r="O66" i="4"/>
  <c r="O67" i="4"/>
  <c r="L26" i="12" s="1"/>
  <c r="O68" i="4"/>
  <c r="L27" i="12" s="1"/>
  <c r="O69" i="4"/>
  <c r="L28" i="12" s="1"/>
  <c r="O70" i="4"/>
  <c r="O71" i="4"/>
  <c r="O72" i="4"/>
  <c r="O73" i="4"/>
  <c r="L21" i="15" s="1"/>
  <c r="O74" i="4"/>
  <c r="O75" i="4"/>
  <c r="O76" i="4"/>
  <c r="L29" i="12" s="1"/>
  <c r="O77" i="4"/>
  <c r="L30" i="12" s="1"/>
  <c r="O78" i="4"/>
  <c r="O79" i="4"/>
  <c r="L32" i="12" s="1"/>
  <c r="O80" i="4"/>
  <c r="O81" i="4"/>
  <c r="O82" i="4"/>
  <c r="L33" i="12" s="1"/>
  <c r="O83" i="4"/>
  <c r="O84" i="4"/>
  <c r="O85" i="4"/>
  <c r="O86" i="4"/>
  <c r="O87" i="4"/>
  <c r="L34" i="12" s="1"/>
  <c r="O88" i="4"/>
  <c r="L25" i="15" s="1"/>
  <c r="O89" i="4"/>
  <c r="O90" i="4"/>
  <c r="O91" i="4"/>
  <c r="O92" i="4"/>
  <c r="L36" i="12" s="1"/>
  <c r="O93" i="4"/>
  <c r="L37" i="12" s="1"/>
  <c r="O94" i="4"/>
  <c r="O95" i="4"/>
  <c r="L39" i="12" s="1"/>
  <c r="O96" i="4"/>
  <c r="O97" i="4"/>
  <c r="L4" i="15" s="1"/>
  <c r="O98" i="4"/>
  <c r="O99" i="4"/>
  <c r="L29" i="15" s="1"/>
  <c r="O100" i="4"/>
  <c r="O101" i="4"/>
  <c r="L40" i="12" s="1"/>
  <c r="O102" i="4"/>
  <c r="O103" i="4"/>
  <c r="M35" i="13" s="1"/>
  <c r="O104" i="4"/>
  <c r="L41" i="12" s="1"/>
  <c r="O105" i="4"/>
  <c r="O106" i="4"/>
  <c r="O107" i="4"/>
  <c r="O108" i="4"/>
  <c r="O109" i="4"/>
  <c r="L42" i="12" s="1"/>
  <c r="O110" i="4"/>
  <c r="O111" i="4"/>
  <c r="O112" i="4"/>
  <c r="L44" i="15" s="1"/>
  <c r="O113" i="4"/>
  <c r="L43" i="12" s="1"/>
  <c r="O114" i="4"/>
  <c r="O115" i="4"/>
  <c r="O116" i="4"/>
  <c r="O117" i="4"/>
  <c r="L44" i="12" s="1"/>
  <c r="O118" i="4"/>
  <c r="O119" i="4"/>
  <c r="L45" i="12" s="1"/>
  <c r="O120" i="4"/>
  <c r="L46" i="12" s="1"/>
  <c r="O121" i="4"/>
  <c r="L47" i="12" s="1"/>
  <c r="O122" i="4"/>
  <c r="O123" i="4"/>
  <c r="O124" i="4"/>
  <c r="O125" i="4"/>
  <c r="L41" i="15" s="1"/>
  <c r="O126" i="4"/>
  <c r="O127" i="4"/>
  <c r="M40" i="13" s="1"/>
  <c r="O128" i="4"/>
  <c r="O129" i="4"/>
  <c r="L49" i="12" s="1"/>
  <c r="O130" i="4"/>
  <c r="O131" i="4"/>
  <c r="O132" i="4"/>
  <c r="L45" i="15" s="1"/>
  <c r="O133" i="4"/>
  <c r="O134" i="4"/>
  <c r="O135" i="4"/>
  <c r="O136" i="4"/>
  <c r="M44" i="13" s="1"/>
  <c r="O137" i="4"/>
  <c r="O138" i="4"/>
  <c r="O139" i="4"/>
  <c r="L48" i="15" s="1"/>
  <c r="O140" i="4"/>
  <c r="L50" i="12" s="1"/>
  <c r="O141" i="4"/>
  <c r="L51" i="12" s="1"/>
  <c r="O142" i="4"/>
  <c r="O143" i="4"/>
  <c r="L38" i="12" s="1"/>
  <c r="O144" i="4"/>
  <c r="L49" i="15" s="1"/>
  <c r="O145" i="4"/>
  <c r="O146" i="4"/>
  <c r="L53" i="12" s="1"/>
  <c r="O147" i="4"/>
  <c r="M47" i="13" s="1"/>
  <c r="O148" i="4"/>
  <c r="O149" i="4"/>
  <c r="M48" i="13" s="1"/>
  <c r="O150" i="4"/>
  <c r="O151" i="4"/>
  <c r="O152" i="4"/>
  <c r="L52" i="15" s="1"/>
  <c r="O153" i="4"/>
  <c r="O154" i="4"/>
  <c r="O155" i="4"/>
  <c r="O156" i="4"/>
  <c r="L53" i="15" s="1"/>
  <c r="O2" i="4"/>
  <c r="H4" i="3"/>
  <c r="H3" i="3"/>
  <c r="H5" i="3"/>
  <c r="H7" i="3"/>
  <c r="H6" i="3"/>
  <c r="H8" i="3"/>
  <c r="H9" i="3"/>
  <c r="H10" i="3"/>
  <c r="H11" i="3"/>
  <c r="H12" i="3"/>
  <c r="H13" i="3"/>
  <c r="H14" i="3"/>
  <c r="H15" i="3"/>
  <c r="H17" i="3"/>
  <c r="H16" i="3"/>
  <c r="H18" i="3"/>
  <c r="H19" i="3"/>
  <c r="H20" i="3"/>
  <c r="H22" i="3"/>
  <c r="H21" i="3"/>
  <c r="H23" i="3"/>
  <c r="H24" i="3"/>
  <c r="H25" i="3"/>
  <c r="H27" i="3"/>
  <c r="H29" i="3"/>
  <c r="H30" i="3"/>
  <c r="H28" i="3"/>
  <c r="H31" i="3"/>
  <c r="H32" i="3"/>
  <c r="H33" i="3"/>
  <c r="H34" i="3"/>
  <c r="H36" i="3"/>
  <c r="H38" i="3"/>
  <c r="H37" i="3"/>
  <c r="H39" i="3"/>
  <c r="H40" i="3"/>
  <c r="H41" i="3"/>
  <c r="H42" i="3"/>
  <c r="H43" i="3"/>
  <c r="H45" i="3"/>
  <c r="H44" i="3"/>
  <c r="H46" i="3"/>
  <c r="H47" i="3"/>
  <c r="H48" i="3"/>
  <c r="H50" i="3"/>
  <c r="H49" i="3"/>
  <c r="H51" i="3"/>
  <c r="H52" i="3"/>
  <c r="H53" i="3"/>
  <c r="H55" i="3"/>
  <c r="H54" i="3"/>
  <c r="H56" i="3"/>
  <c r="H59" i="3"/>
  <c r="H58" i="3"/>
  <c r="H57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5" i="3"/>
  <c r="H86" i="3"/>
  <c r="H84" i="3"/>
  <c r="H87" i="3"/>
  <c r="H88" i="3"/>
  <c r="H89" i="3"/>
  <c r="H90" i="3"/>
  <c r="H91" i="3"/>
  <c r="H92" i="3"/>
  <c r="H142" i="3"/>
  <c r="H93" i="3"/>
  <c r="H94" i="3"/>
  <c r="H96" i="3"/>
  <c r="H95" i="3"/>
  <c r="H98" i="3"/>
  <c r="H97" i="3"/>
  <c r="H99" i="3"/>
  <c r="H101" i="3"/>
  <c r="H100" i="3"/>
  <c r="H102" i="3"/>
  <c r="H103" i="3"/>
  <c r="H104" i="3"/>
  <c r="H105" i="3"/>
  <c r="H106" i="3"/>
  <c r="H35" i="3"/>
  <c r="H107" i="3"/>
  <c r="H108" i="3"/>
  <c r="H109" i="3"/>
  <c r="H110" i="3"/>
  <c r="H111" i="3"/>
  <c r="H112" i="3"/>
  <c r="H113" i="3"/>
  <c r="H114" i="3"/>
  <c r="H115" i="3"/>
  <c r="H26" i="3"/>
  <c r="H116" i="3"/>
  <c r="H117" i="3"/>
  <c r="H118" i="3"/>
  <c r="H119" i="3"/>
  <c r="H120" i="3"/>
  <c r="H121" i="3"/>
  <c r="H122" i="3"/>
  <c r="H123" i="3"/>
  <c r="H124" i="3"/>
  <c r="H126" i="3"/>
  <c r="H125" i="3"/>
  <c r="H127" i="3"/>
  <c r="H128" i="3"/>
  <c r="H129" i="3"/>
  <c r="H130" i="3"/>
  <c r="H131" i="3"/>
  <c r="H132" i="3"/>
  <c r="H133" i="3"/>
  <c r="H134" i="3"/>
  <c r="H135" i="3"/>
  <c r="H137" i="3"/>
  <c r="H136" i="3"/>
  <c r="H138" i="3"/>
  <c r="H140" i="3"/>
  <c r="H139" i="3"/>
  <c r="H141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2" i="3"/>
  <c r="L150" i="4"/>
  <c r="I149" i="4"/>
  <c r="J149" i="4" s="1"/>
  <c r="K143" i="4"/>
  <c r="I131" i="4"/>
  <c r="J131" i="4" s="1"/>
  <c r="I121" i="4"/>
  <c r="J121" i="4" s="1"/>
  <c r="I119" i="4"/>
  <c r="J119" i="4" s="1"/>
  <c r="I113" i="4"/>
  <c r="J113" i="4" s="1"/>
  <c r="I112" i="4"/>
  <c r="J112" i="4" s="1"/>
  <c r="K111" i="4"/>
  <c r="L110" i="4"/>
  <c r="K109" i="4"/>
  <c r="K108" i="4"/>
  <c r="K107" i="4"/>
  <c r="I103" i="4"/>
  <c r="J103" i="4" s="1"/>
  <c r="L102" i="4"/>
  <c r="I99" i="4"/>
  <c r="J99" i="4" s="1"/>
  <c r="I97" i="4"/>
  <c r="J97" i="4" s="1"/>
  <c r="I96" i="4"/>
  <c r="J96" i="4" s="1"/>
  <c r="K92" i="4"/>
  <c r="I88" i="4"/>
  <c r="J88" i="4" s="1"/>
  <c r="I87" i="4"/>
  <c r="J87" i="4" s="1"/>
  <c r="I81" i="4"/>
  <c r="J81" i="4" s="1"/>
  <c r="I73" i="4"/>
  <c r="J73" i="4" s="1"/>
  <c r="I68" i="4"/>
  <c r="J68" i="4" s="1"/>
  <c r="K60" i="4"/>
  <c r="K59" i="4"/>
  <c r="I57" i="4"/>
  <c r="J57" i="4" s="1"/>
  <c r="L54" i="4"/>
  <c r="I50" i="4"/>
  <c r="J50" i="4" s="1"/>
  <c r="K43" i="4"/>
  <c r="I40" i="4"/>
  <c r="J40" i="4" s="1"/>
  <c r="I37" i="4"/>
  <c r="J37" i="4" s="1"/>
  <c r="I35" i="4"/>
  <c r="J35" i="4" s="1"/>
  <c r="I26" i="4"/>
  <c r="J26" i="4" s="1"/>
  <c r="I23" i="4"/>
  <c r="J23" i="4" s="1"/>
  <c r="L22" i="4"/>
  <c r="I21" i="4"/>
  <c r="J21" i="4" s="1"/>
  <c r="I19" i="4"/>
  <c r="J19" i="4" s="1"/>
  <c r="I17" i="4"/>
  <c r="J17" i="4" s="1"/>
  <c r="I10" i="4"/>
  <c r="J10" i="4" s="1"/>
  <c r="I9" i="4"/>
  <c r="J9" i="4" s="1"/>
  <c r="I5" i="4"/>
  <c r="J5" i="4" s="1"/>
  <c r="I4" i="4"/>
  <c r="J4" i="4" s="1"/>
  <c r="C46" i="4" a="1"/>
  <c r="B68" i="3" a="1"/>
  <c r="C66" i="4" a="1"/>
  <c r="B40" i="3" a="1"/>
  <c r="C15" i="4" a="1"/>
  <c r="B2" i="12" a="1"/>
  <c r="B13" i="15" a="1"/>
  <c r="B11" i="13" a="1"/>
  <c r="B8" i="3" a="1"/>
  <c r="B32" i="3" a="1"/>
  <c r="B30" i="15" a="1"/>
  <c r="B43" i="3" a="1"/>
  <c r="C156" i="4" a="1"/>
  <c r="B88" i="3" a="1"/>
  <c r="C3" i="4" a="1"/>
  <c r="B12" i="13" a="1"/>
  <c r="B28" i="12" a="1"/>
  <c r="C122" i="4" a="1"/>
  <c r="B33" i="12" a="1"/>
  <c r="C132" i="4" a="1"/>
  <c r="B38" i="15" a="1"/>
  <c r="C153" i="4" a="1"/>
  <c r="B2" i="13" a="1"/>
  <c r="B4" i="12" a="1"/>
  <c r="B17" i="15" a="1"/>
  <c r="B141" i="3" a="1"/>
  <c r="B4" i="15" a="1"/>
  <c r="C82" i="4" a="1"/>
  <c r="B31" i="3" a="1"/>
  <c r="B147" i="3" a="1"/>
  <c r="B123" i="3" a="1"/>
  <c r="C148" i="4" a="1"/>
  <c r="B14" i="13" a="1"/>
  <c r="B152" i="3" a="1"/>
  <c r="C138" i="4" a="1"/>
  <c r="B129" i="3" a="1"/>
  <c r="C123" i="4" a="1"/>
  <c r="C63" i="4" a="1"/>
  <c r="B30" i="3" a="1"/>
  <c r="C76" i="4" a="1"/>
  <c r="B40" i="15" a="1"/>
  <c r="C7" i="4" a="1"/>
  <c r="B50" i="12" a="1"/>
  <c r="B143" i="3" a="1"/>
  <c r="B31" i="12" a="1"/>
  <c r="B8" i="15" a="1"/>
  <c r="B54" i="12" a="1"/>
  <c r="B26" i="3" a="1"/>
  <c r="B45" i="12" a="1"/>
  <c r="C101" i="4" a="1"/>
  <c r="B23" i="13" a="1"/>
  <c r="B44" i="12" a="1"/>
  <c r="B33" i="3" a="1"/>
  <c r="B107" i="3" a="1"/>
  <c r="B3" i="3" a="1"/>
  <c r="B38" i="12" a="1"/>
  <c r="B62" i="3" a="1"/>
  <c r="B78" i="3" a="1"/>
  <c r="C147" i="4" a="1"/>
  <c r="C32" i="4" a="1"/>
  <c r="B35" i="15" a="1"/>
  <c r="B42" i="3" a="1"/>
  <c r="B5" i="12" a="1"/>
  <c r="B31" i="15" a="1"/>
  <c r="B7" i="3" a="1"/>
  <c r="B41" i="3" a="1"/>
  <c r="C136" i="4" a="1"/>
  <c r="B42" i="12" a="1"/>
  <c r="B118" i="3" a="1"/>
  <c r="C74" i="4" a="1"/>
  <c r="B41" i="13" a="1"/>
  <c r="B9" i="15" a="1"/>
  <c r="C14" i="4" a="1"/>
  <c r="B22" i="3" a="1"/>
  <c r="B63" i="3" a="1"/>
  <c r="B38" i="13" a="1"/>
  <c r="C133" i="4" a="1"/>
  <c r="B28" i="3" a="1"/>
  <c r="B48" i="12" a="1"/>
  <c r="C34" i="4" a="1"/>
  <c r="B80" i="3" a="1"/>
  <c r="C30" i="4" a="1"/>
  <c r="C61" i="4" a="1"/>
  <c r="B146" i="3" a="1"/>
  <c r="B24" i="3" a="1"/>
  <c r="B2" i="15" a="1"/>
  <c r="B95" i="3" a="1"/>
  <c r="B5" i="13" a="1"/>
  <c r="C134" i="4" a="1"/>
  <c r="B52" i="3" a="1"/>
  <c r="B41" i="15" a="1"/>
  <c r="B71" i="3" a="1"/>
  <c r="C128" i="4" a="1"/>
  <c r="C67" i="4" a="1"/>
  <c r="B46" i="15" a="1"/>
  <c r="B111" i="3" a="1"/>
  <c r="B45" i="3" a="1"/>
  <c r="B6" i="3" a="1"/>
  <c r="B47" i="13" a="1"/>
  <c r="B84" i="3" a="1"/>
  <c r="B35" i="13" a="1"/>
  <c r="B25" i="3" a="1"/>
  <c r="B10" i="15" a="1"/>
  <c r="B15" i="15" a="1"/>
  <c r="B39" i="12" a="1"/>
  <c r="B122" i="3" a="1"/>
  <c r="B18" i="12" a="1"/>
  <c r="B135" i="3" a="1"/>
  <c r="C8" i="4" a="1"/>
  <c r="B9" i="12" a="1"/>
  <c r="C51" i="4" a="1"/>
  <c r="B73" i="3" a="1"/>
  <c r="B92" i="3" a="1"/>
  <c r="B75" i="3" a="1"/>
  <c r="B27" i="13" a="1"/>
  <c r="B12" i="3" a="1"/>
  <c r="B114" i="3" a="1"/>
  <c r="B43" i="12" a="1"/>
  <c r="B103" i="3" a="1"/>
  <c r="C90" i="4" a="1"/>
  <c r="B54" i="3" a="1"/>
  <c r="B57" i="3" a="1"/>
  <c r="C77" i="4" a="1"/>
  <c r="B24" i="12" a="1"/>
  <c r="C104" i="4" a="1"/>
  <c r="B94" i="3" a="1"/>
  <c r="B136" i="3" a="1"/>
  <c r="C98" i="4" a="1"/>
  <c r="B149" i="3" a="1"/>
  <c r="B14" i="15" a="1"/>
  <c r="B45" i="13" a="1"/>
  <c r="B51" i="15" a="1"/>
  <c r="C151" i="4" a="1"/>
  <c r="B28" i="13" a="1"/>
  <c r="B23" i="15" a="1"/>
  <c r="B39" i="13" a="1"/>
  <c r="B21" i="13" a="1"/>
  <c r="C47" i="4" a="1"/>
  <c r="B24" i="13" a="1"/>
  <c r="B18" i="13" a="1"/>
  <c r="C93" i="4" a="1"/>
  <c r="B142" i="3" a="1"/>
  <c r="B87" i="3" a="1"/>
  <c r="C146" i="4" a="1"/>
  <c r="B26" i="15" a="1"/>
  <c r="B48" i="13" a="1"/>
  <c r="B10" i="13" a="1"/>
  <c r="B41" i="12" a="1"/>
  <c r="C89" i="4" a="1"/>
  <c r="C25" i="4" a="1"/>
  <c r="B49" i="3" a="1"/>
  <c r="B16" i="13" a="1"/>
  <c r="B66" i="3" a="1"/>
  <c r="B55" i="3" a="1"/>
  <c r="B29" i="12" a="1"/>
  <c r="B4" i="3" a="1"/>
  <c r="C135" i="4" a="1"/>
  <c r="B48" i="3" a="1"/>
  <c r="B83" i="3" a="1"/>
  <c r="B19" i="3" a="1"/>
  <c r="B29" i="3" a="1"/>
  <c r="C115" i="4" a="1"/>
  <c r="B50" i="15" a="1"/>
  <c r="B32" i="15" a="1"/>
  <c r="B23" i="3" a="1"/>
  <c r="B29" i="13" a="1"/>
  <c r="C105" i="4" a="1"/>
  <c r="B81" i="3" a="1"/>
  <c r="B15" i="13" a="1"/>
  <c r="B5" i="15" a="1"/>
  <c r="B132" i="3" a="1"/>
  <c r="B6" i="15" a="1"/>
  <c r="C64" i="4" a="1"/>
  <c r="B40" i="13" a="1"/>
  <c r="B36" i="13" a="1"/>
  <c r="B101" i="3" a="1"/>
  <c r="C154" i="4" a="1"/>
  <c r="B23" i="12" a="1"/>
  <c r="B14" i="3" a="1"/>
  <c r="B47" i="15" a="1"/>
  <c r="B46" i="12" a="1"/>
  <c r="B48" i="15" a="1"/>
  <c r="B67" i="3" a="1"/>
  <c r="C13" i="4" a="1"/>
  <c r="B131" i="3" a="1"/>
  <c r="C72" i="4" a="1"/>
  <c r="C86" i="4" a="1"/>
  <c r="C41" i="4" a="1"/>
  <c r="C124" i="4" a="1"/>
  <c r="B49" i="15" a="1"/>
  <c r="C53" i="4" a="1"/>
  <c r="C20" i="4" a="1"/>
  <c r="B37" i="15" a="1"/>
  <c r="C141" i="4" a="1"/>
  <c r="B44" i="3" a="1"/>
  <c r="B96" i="3" a="1"/>
  <c r="B105" i="3" a="1"/>
  <c r="B12" i="15" a="1"/>
  <c r="B34" i="15" a="1"/>
  <c r="B29" i="15" a="1"/>
  <c r="B116" i="3" a="1"/>
  <c r="B106" i="3" a="1"/>
  <c r="B76" i="3" a="1"/>
  <c r="B37" i="12" a="1"/>
  <c r="B18" i="3" a="1"/>
  <c r="B85" i="3" a="1"/>
  <c r="B11" i="15" a="1"/>
  <c r="B50" i="3" a="1"/>
  <c r="C139" i="4" a="1"/>
  <c r="B125" i="3" a="1"/>
  <c r="B65" i="3" a="1"/>
  <c r="C27" i="4" a="1"/>
  <c r="B128" i="3" a="1"/>
  <c r="B2" i="3" a="1"/>
  <c r="C39" i="4" a="1"/>
  <c r="B8" i="13" a="1"/>
  <c r="B47" i="3" a="1"/>
  <c r="C48" i="4" a="1"/>
  <c r="B97" i="3" a="1"/>
  <c r="B20" i="3" a="1"/>
  <c r="B37" i="3" a="1"/>
  <c r="B19" i="13" a="1"/>
  <c r="B36" i="12" a="1"/>
  <c r="C130" i="4" a="1"/>
  <c r="B15" i="12" a="1"/>
  <c r="B15" i="3" a="1"/>
  <c r="B79" i="3" a="1"/>
  <c r="C106" i="4" a="1"/>
  <c r="B33" i="15" a="1"/>
  <c r="B82" i="3" a="1"/>
  <c r="C118" i="4" a="1"/>
  <c r="B16" i="12" a="1"/>
  <c r="B70" i="3" a="1"/>
  <c r="B102" i="3" a="1"/>
  <c r="B11" i="3" a="1"/>
  <c r="B77" i="3" a="1"/>
  <c r="B93" i="3" a="1"/>
  <c r="C155" i="4" a="1"/>
  <c r="B42" i="13" a="1"/>
  <c r="B51" i="3" a="1"/>
  <c r="B7" i="12" a="1"/>
  <c r="B69" i="3" a="1"/>
  <c r="C42" i="4" a="1"/>
  <c r="C2" i="4" a="1"/>
  <c r="B49" i="12" a="1"/>
  <c r="B151" i="3" a="1"/>
  <c r="B43" i="13" a="1"/>
  <c r="B25" i="13" a="1"/>
  <c r="B4" i="13" a="1"/>
  <c r="B39" i="15" a="1"/>
  <c r="B12" i="12" a="1"/>
  <c r="B10" i="3" a="1"/>
  <c r="C45" i="4" a="1"/>
  <c r="C49" i="4" a="1"/>
  <c r="C142" i="4" a="1"/>
  <c r="B19" i="12" a="1"/>
  <c r="B17" i="3" a="1"/>
  <c r="B145" i="3" a="1"/>
  <c r="B124" i="3" a="1"/>
  <c r="C120" i="4" a="1"/>
  <c r="B13" i="13" a="1"/>
  <c r="B144" i="3" a="1"/>
  <c r="B110" i="3" a="1"/>
  <c r="C36" i="4" a="1"/>
  <c r="B20" i="13" a="1"/>
  <c r="B49" i="13" a="1"/>
  <c r="B30" i="12" a="1"/>
  <c r="B51" i="12" a="1"/>
  <c r="B154" i="3" a="1"/>
  <c r="B134" i="3" a="1"/>
  <c r="C62" i="4" a="1"/>
  <c r="C56" i="4" a="1"/>
  <c r="C58" i="4" a="1"/>
  <c r="C38" i="4" a="1"/>
  <c r="B121" i="3" a="1"/>
  <c r="B13" i="12" a="1"/>
  <c r="C129" i="4" a="1"/>
  <c r="C83" i="4" a="1"/>
  <c r="B44" i="15" a="1"/>
  <c r="B5" i="3" a="1"/>
  <c r="B3" i="12" a="1"/>
  <c r="B155" i="3" a="1"/>
  <c r="B34" i="3" a="1"/>
  <c r="B61" i="3" a="1"/>
  <c r="C55" i="4" a="1"/>
  <c r="B138" i="3" a="1"/>
  <c r="C125" i="4" a="1"/>
  <c r="B3" i="13" a="1"/>
  <c r="B153" i="3" a="1"/>
  <c r="B64" i="3" a="1"/>
  <c r="B74" i="3" a="1"/>
  <c r="B120" i="3" a="1"/>
  <c r="B113" i="3" a="1"/>
  <c r="B7" i="15" a="1"/>
  <c r="B31" i="13" a="1"/>
  <c r="B53" i="3" a="1"/>
  <c r="B9" i="13" a="1"/>
  <c r="B137" i="3" a="1"/>
  <c r="C44" i="4" a="1"/>
  <c r="C152" i="4" a="1"/>
  <c r="B108" i="3" a="1"/>
  <c r="B25" i="15" a="1"/>
  <c r="B60" i="3" a="1"/>
  <c r="C84" i="4" a="1"/>
  <c r="B52" i="15" a="1"/>
  <c r="C116" i="4" a="1"/>
  <c r="B30" i="13" a="1"/>
  <c r="B22" i="12" a="1"/>
  <c r="B20" i="15" a="1"/>
  <c r="B56" i="3" a="1"/>
  <c r="C117" i="4" a="1"/>
  <c r="B140" i="3" a="1"/>
  <c r="B24" i="15" a="1"/>
  <c r="B37" i="13" a="1"/>
  <c r="B148" i="3" a="1"/>
  <c r="C145" i="4" a="1"/>
  <c r="B27" i="3" a="1"/>
  <c r="B56" i="12" a="1"/>
  <c r="C71" i="4" a="1"/>
  <c r="C18" i="4" a="1"/>
  <c r="B32" i="13" a="1"/>
  <c r="B27" i="12" a="1"/>
  <c r="B139" i="3" a="1"/>
  <c r="B26" i="13" a="1"/>
  <c r="B52" i="12" a="1"/>
  <c r="B18" i="15" a="1"/>
  <c r="B34" i="13" a="1"/>
  <c r="C16" i="4" a="1"/>
  <c r="B40" i="12" a="1"/>
  <c r="B119" i="3" a="1"/>
  <c r="B11" i="12" a="1"/>
  <c r="B117" i="3" a="1"/>
  <c r="B150" i="3" a="1"/>
  <c r="B90" i="3" a="1"/>
  <c r="B25" i="12" a="1"/>
  <c r="B20" i="12" a="1"/>
  <c r="B6" i="13" a="1"/>
  <c r="B100" i="3" a="1"/>
  <c r="B43" i="15" a="1"/>
  <c r="B28" i="15" a="1"/>
  <c r="B112" i="3" a="1"/>
  <c r="B127" i="3" a="1"/>
  <c r="C70" i="4" a="1"/>
  <c r="B115" i="3" a="1"/>
  <c r="C114" i="4" a="1"/>
  <c r="C95" i="4" a="1"/>
  <c r="B21" i="15" a="1"/>
  <c r="C6" i="4" a="1"/>
  <c r="B86" i="3" a="1"/>
  <c r="B36" i="15" a="1"/>
  <c r="B22" i="15" a="1"/>
  <c r="C29" i="4" a="1"/>
  <c r="B59" i="3" a="1"/>
  <c r="B58" i="3" a="1"/>
  <c r="C28" i="4" a="1"/>
  <c r="C11" i="4" a="1"/>
  <c r="C140" i="4" a="1"/>
  <c r="C126" i="4" a="1"/>
  <c r="B47" i="12" a="1"/>
  <c r="C78" i="4" a="1"/>
  <c r="B27" i="15" a="1"/>
  <c r="C24" i="4" a="1"/>
  <c r="B53" i="12" a="1"/>
  <c r="C65" i="4" a="1"/>
  <c r="B38" i="3" a="1"/>
  <c r="C12" i="4" a="1"/>
  <c r="B42" i="15" a="1"/>
  <c r="B39" i="3" a="1"/>
  <c r="C137" i="4" a="1"/>
  <c r="C80" i="4" a="1"/>
  <c r="C100" i="4" a="1"/>
  <c r="B16" i="15" a="1"/>
  <c r="B109" i="3" a="1"/>
  <c r="B44" i="13" a="1"/>
  <c r="B17" i="12" a="1"/>
  <c r="C94" i="4" a="1"/>
  <c r="B33" i="13" a="1"/>
  <c r="B13" i="3" a="1"/>
  <c r="B35" i="3" a="1"/>
  <c r="B32" i="12" a="1"/>
  <c r="B19" i="15" a="1"/>
  <c r="C127" i="4" a="1"/>
  <c r="C75" i="4" a="1"/>
  <c r="B53" i="15" a="1"/>
  <c r="B133" i="3" a="1"/>
  <c r="B6" i="12" a="1"/>
  <c r="B99" i="3" a="1"/>
  <c r="B89" i="3" a="1"/>
  <c r="B130" i="3" a="1"/>
  <c r="B21" i="3" a="1"/>
  <c r="B17" i="13" a="1"/>
  <c r="B9" i="3" a="1"/>
  <c r="B46" i="13" a="1"/>
  <c r="B55" i="12" a="1"/>
  <c r="B36" i="3" a="1"/>
  <c r="B8" i="12" a="1"/>
  <c r="C69" i="4" a="1"/>
  <c r="C144" i="4" a="1"/>
  <c r="B98" i="3" a="1"/>
  <c r="B46" i="3" a="1"/>
  <c r="B16" i="3" a="1"/>
  <c r="B45" i="15" a="1"/>
  <c r="B35" i="12" a="1"/>
  <c r="C85" i="4" a="1"/>
  <c r="C33" i="4" a="1"/>
  <c r="B34" i="12" a="1"/>
  <c r="B72" i="3" a="1"/>
  <c r="C79" i="4" a="1"/>
  <c r="C91" i="4" a="1"/>
  <c r="B104" i="3" a="1"/>
  <c r="B14" i="12" a="1"/>
  <c r="B21" i="12" a="1"/>
  <c r="B22" i="13" a="1"/>
  <c r="C52" i="4" a="1"/>
  <c r="B7" i="13" a="1"/>
  <c r="B91" i="3" a="1"/>
  <c r="B26" i="12" a="1"/>
  <c r="B126" i="3" a="1"/>
  <c r="C31" i="4" a="1"/>
  <c r="B3" i="15" a="1"/>
  <c r="B10" i="12" a="1"/>
  <c r="M2" i="13" l="1"/>
  <c r="M42" i="13"/>
  <c r="I10" i="11"/>
  <c r="I11" i="11"/>
  <c r="I21" i="11"/>
  <c r="I7" i="11"/>
  <c r="M5" i="13"/>
  <c r="M13" i="13"/>
  <c r="M21" i="13"/>
  <c r="M25" i="13"/>
  <c r="M33" i="13"/>
  <c r="M41" i="13"/>
  <c r="I25" i="11"/>
  <c r="I3" i="11"/>
  <c r="I2" i="11"/>
  <c r="I23" i="11"/>
  <c r="I6" i="11"/>
  <c r="I12" i="11"/>
  <c r="M46" i="13"/>
  <c r="L47" i="15"/>
  <c r="I16" i="11"/>
  <c r="M9" i="13"/>
  <c r="M37" i="13"/>
  <c r="M49" i="13"/>
  <c r="L11" i="15"/>
  <c r="L31" i="15"/>
  <c r="L39" i="15"/>
  <c r="L46" i="15"/>
  <c r="L50" i="15"/>
  <c r="I4" i="11"/>
  <c r="I15" i="11"/>
  <c r="I24" i="11"/>
  <c r="M4" i="13"/>
  <c r="M8" i="13"/>
  <c r="M12" i="13"/>
  <c r="M16" i="13"/>
  <c r="M20" i="13"/>
  <c r="M24" i="13"/>
  <c r="M28" i="13"/>
  <c r="L3" i="15"/>
  <c r="L6" i="15"/>
  <c r="L14" i="15"/>
  <c r="L18" i="15"/>
  <c r="L22" i="15"/>
  <c r="L26" i="15"/>
  <c r="L30" i="15"/>
  <c r="L34" i="15"/>
  <c r="L42" i="15"/>
  <c r="I5" i="11"/>
  <c r="I19" i="11"/>
  <c r="I13" i="11"/>
  <c r="I26" i="11"/>
  <c r="L2" i="15"/>
  <c r="C30" i="4"/>
  <c r="K30" i="4" s="1"/>
  <c r="C66" i="4"/>
  <c r="K66" i="4" s="1"/>
  <c r="C114" i="4"/>
  <c r="K114" i="4" s="1"/>
  <c r="C138" i="4"/>
  <c r="K138" i="4" s="1"/>
  <c r="B147" i="3"/>
  <c r="D147" i="3" s="1"/>
  <c r="F147" i="3" s="1"/>
  <c r="B122" i="3"/>
  <c r="D122" i="3" s="1"/>
  <c r="F122" i="3" s="1"/>
  <c r="B100" i="3"/>
  <c r="D100" i="3" s="1"/>
  <c r="F100" i="3" s="1"/>
  <c r="B78" i="3"/>
  <c r="D78" i="3" s="1"/>
  <c r="F78" i="3" s="1"/>
  <c r="B66" i="3"/>
  <c r="D66" i="3" s="1"/>
  <c r="F66" i="3" s="1"/>
  <c r="B17" i="3"/>
  <c r="D17" i="3" s="1"/>
  <c r="F17" i="3" s="1"/>
  <c r="B12" i="12"/>
  <c r="B36" i="13"/>
  <c r="B8" i="15"/>
  <c r="C31" i="4"/>
  <c r="K31" i="4" s="1"/>
  <c r="C79" i="4"/>
  <c r="K79" i="4" s="1"/>
  <c r="C151" i="4"/>
  <c r="K151" i="4" s="1"/>
  <c r="B133" i="3"/>
  <c r="D133" i="3" s="1"/>
  <c r="F133" i="3" s="1"/>
  <c r="B89" i="3"/>
  <c r="D89" i="3" s="1"/>
  <c r="F89" i="3" s="1"/>
  <c r="B4" i="3"/>
  <c r="D4" i="3" s="1"/>
  <c r="F4" i="3" s="1"/>
  <c r="B16" i="12"/>
  <c r="B24" i="12"/>
  <c r="B36" i="12"/>
  <c r="B48" i="12"/>
  <c r="B56" i="12"/>
  <c r="B11" i="13"/>
  <c r="B22" i="13"/>
  <c r="B28" i="13"/>
  <c r="B42" i="13"/>
  <c r="C24" i="4"/>
  <c r="K24" i="4" s="1"/>
  <c r="C36" i="4"/>
  <c r="C84" i="4"/>
  <c r="K84" i="4" s="1"/>
  <c r="C132" i="4"/>
  <c r="C13" i="4"/>
  <c r="K13" i="4" s="1"/>
  <c r="C25" i="4"/>
  <c r="K25" i="4" s="1"/>
  <c r="C49" i="4"/>
  <c r="K49" i="4" s="1"/>
  <c r="C61" i="4"/>
  <c r="K61" i="4" s="1"/>
  <c r="C85" i="4"/>
  <c r="C145" i="4"/>
  <c r="K145" i="4" s="1"/>
  <c r="B152" i="3"/>
  <c r="D152" i="3" s="1"/>
  <c r="F152" i="3" s="1"/>
  <c r="B140" i="3"/>
  <c r="D140" i="3" s="1"/>
  <c r="F140" i="3" s="1"/>
  <c r="B127" i="3"/>
  <c r="D127" i="3" s="1"/>
  <c r="F127" i="3" s="1"/>
  <c r="B26" i="3"/>
  <c r="D26" i="3" s="1"/>
  <c r="F26" i="3" s="1"/>
  <c r="B94" i="3"/>
  <c r="D94" i="3" s="1"/>
  <c r="F94" i="3" s="1"/>
  <c r="B83" i="3"/>
  <c r="D83" i="3" s="1"/>
  <c r="F83" i="3" s="1"/>
  <c r="B71" i="3"/>
  <c r="D71" i="3" s="1"/>
  <c r="F71" i="3" s="1"/>
  <c r="B57" i="3"/>
  <c r="D57" i="3" s="1"/>
  <c r="F57" i="3" s="1"/>
  <c r="B47" i="3"/>
  <c r="D47" i="3" s="1"/>
  <c r="F47" i="3" s="1"/>
  <c r="B34" i="3"/>
  <c r="D34" i="3" s="1"/>
  <c r="F34" i="3" s="1"/>
  <c r="B9" i="3"/>
  <c r="D9" i="3" s="1"/>
  <c r="F9" i="3" s="1"/>
  <c r="B3" i="12"/>
  <c r="B7" i="12"/>
  <c r="B18" i="12"/>
  <c r="B22" i="12"/>
  <c r="B26" i="12"/>
  <c r="B30" i="12"/>
  <c r="B34" i="12"/>
  <c r="B38" i="12"/>
  <c r="B46" i="12"/>
  <c r="B50" i="12"/>
  <c r="B54" i="12"/>
  <c r="B32" i="13"/>
  <c r="C2" i="4"/>
  <c r="K2" i="4" s="1"/>
  <c r="C62" i="4"/>
  <c r="K62" i="4" s="1"/>
  <c r="C74" i="4"/>
  <c r="K74" i="4" s="1"/>
  <c r="C98" i="4"/>
  <c r="K98" i="4" s="1"/>
  <c r="C122" i="4"/>
  <c r="C146" i="4"/>
  <c r="K146" i="4" s="1"/>
  <c r="B151" i="3"/>
  <c r="D151" i="3" s="1"/>
  <c r="F151" i="3" s="1"/>
  <c r="B138" i="3"/>
  <c r="D138" i="3" s="1"/>
  <c r="F138" i="3" s="1"/>
  <c r="B125" i="3"/>
  <c r="D125" i="3" s="1"/>
  <c r="F125" i="3" s="1"/>
  <c r="B115" i="3"/>
  <c r="D115" i="3" s="1"/>
  <c r="F115" i="3" s="1"/>
  <c r="B105" i="3"/>
  <c r="D105" i="3" s="1"/>
  <c r="F105" i="3" s="1"/>
  <c r="B93" i="3"/>
  <c r="D93" i="3" s="1"/>
  <c r="F93" i="3" s="1"/>
  <c r="B82" i="3"/>
  <c r="D82" i="3" s="1"/>
  <c r="F82" i="3" s="1"/>
  <c r="B70" i="3"/>
  <c r="D70" i="3" s="1"/>
  <c r="F70" i="3" s="1"/>
  <c r="B58" i="3"/>
  <c r="D58" i="3" s="1"/>
  <c r="F58" i="3" s="1"/>
  <c r="B46" i="3"/>
  <c r="D46" i="3" s="1"/>
  <c r="F46" i="3" s="1"/>
  <c r="B33" i="3"/>
  <c r="D33" i="3" s="1"/>
  <c r="F33" i="3" s="1"/>
  <c r="B20" i="3"/>
  <c r="D20" i="3" s="1"/>
  <c r="F20" i="3" s="1"/>
  <c r="B8" i="3"/>
  <c r="D8" i="3" s="1"/>
  <c r="F8" i="3" s="1"/>
  <c r="B4" i="13"/>
  <c r="B21" i="13"/>
  <c r="B21" i="15"/>
  <c r="B29" i="15"/>
  <c r="B32" i="15"/>
  <c r="B43" i="15"/>
  <c r="B46" i="15"/>
  <c r="B49" i="15"/>
  <c r="C127" i="4"/>
  <c r="K127" i="4" s="1"/>
  <c r="C3" i="4"/>
  <c r="K3" i="4" s="1"/>
  <c r="C15" i="4"/>
  <c r="K15" i="4" s="1"/>
  <c r="C27" i="4"/>
  <c r="C39" i="4"/>
  <c r="K39" i="4" s="1"/>
  <c r="C51" i="4"/>
  <c r="K51" i="4" s="1"/>
  <c r="C63" i="4"/>
  <c r="K63" i="4" s="1"/>
  <c r="C75" i="4"/>
  <c r="K75" i="4" s="1"/>
  <c r="C123" i="4"/>
  <c r="K123" i="4" s="1"/>
  <c r="C135" i="4"/>
  <c r="K135" i="4" s="1"/>
  <c r="C147" i="4"/>
  <c r="K147" i="4" s="1"/>
  <c r="B150" i="3"/>
  <c r="D150" i="3" s="1"/>
  <c r="F150" i="3" s="1"/>
  <c r="B136" i="3"/>
  <c r="D136" i="3" s="1"/>
  <c r="F136" i="3" s="1"/>
  <c r="B126" i="3"/>
  <c r="D126" i="3" s="1"/>
  <c r="F126" i="3" s="1"/>
  <c r="B114" i="3"/>
  <c r="D114" i="3" s="1"/>
  <c r="F114" i="3" s="1"/>
  <c r="B104" i="3"/>
  <c r="D104" i="3" s="1"/>
  <c r="F104" i="3" s="1"/>
  <c r="B142" i="3"/>
  <c r="D142" i="3" s="1"/>
  <c r="F142" i="3" s="1"/>
  <c r="B81" i="3"/>
  <c r="D81" i="3" s="1"/>
  <c r="F81" i="3" s="1"/>
  <c r="B69" i="3"/>
  <c r="D69" i="3" s="1"/>
  <c r="F69" i="3" s="1"/>
  <c r="B59" i="3"/>
  <c r="D59" i="3" s="1"/>
  <c r="F59" i="3" s="1"/>
  <c r="B44" i="3"/>
  <c r="D44" i="3" s="1"/>
  <c r="F44" i="3" s="1"/>
  <c r="B32" i="3"/>
  <c r="D32" i="3" s="1"/>
  <c r="F32" i="3" s="1"/>
  <c r="B19" i="3"/>
  <c r="D19" i="3" s="1"/>
  <c r="F19" i="3" s="1"/>
  <c r="B6" i="3"/>
  <c r="D6" i="3" s="1"/>
  <c r="F6" i="3" s="1"/>
  <c r="B11" i="12"/>
  <c r="B7" i="13"/>
  <c r="B10" i="13"/>
  <c r="B24" i="13"/>
  <c r="B27" i="13"/>
  <c r="B38" i="13"/>
  <c r="B41" i="13"/>
  <c r="B44" i="13"/>
  <c r="B10" i="15"/>
  <c r="B52" i="15"/>
  <c r="B38" i="15"/>
  <c r="B42" i="3"/>
  <c r="D42" i="3" s="1"/>
  <c r="F42" i="3" s="1"/>
  <c r="B53" i="3"/>
  <c r="D53" i="3" s="1"/>
  <c r="F53" i="3" s="1"/>
  <c r="C16" i="4"/>
  <c r="K16" i="4" s="1"/>
  <c r="C28" i="4"/>
  <c r="K28" i="4" s="1"/>
  <c r="C52" i="4"/>
  <c r="C64" i="4"/>
  <c r="K64" i="4" s="1"/>
  <c r="C76" i="4"/>
  <c r="K76" i="4" s="1"/>
  <c r="C100" i="4"/>
  <c r="C124" i="4"/>
  <c r="K124" i="4" s="1"/>
  <c r="C136" i="4"/>
  <c r="C148" i="4"/>
  <c r="K148" i="4" s="1"/>
  <c r="B149" i="3"/>
  <c r="D149" i="3" s="1"/>
  <c r="F149" i="3" s="1"/>
  <c r="B137" i="3"/>
  <c r="D137" i="3" s="1"/>
  <c r="F137" i="3" s="1"/>
  <c r="B124" i="3"/>
  <c r="D124" i="3" s="1"/>
  <c r="F124" i="3" s="1"/>
  <c r="B113" i="3"/>
  <c r="D113" i="3" s="1"/>
  <c r="F113" i="3" s="1"/>
  <c r="B103" i="3"/>
  <c r="D103" i="3" s="1"/>
  <c r="F103" i="3" s="1"/>
  <c r="B92" i="3"/>
  <c r="D92" i="3" s="1"/>
  <c r="F92" i="3" s="1"/>
  <c r="B80" i="3"/>
  <c r="D80" i="3" s="1"/>
  <c r="F80" i="3" s="1"/>
  <c r="B68" i="3"/>
  <c r="D68" i="3" s="1"/>
  <c r="F68" i="3" s="1"/>
  <c r="B56" i="3"/>
  <c r="D56" i="3" s="1"/>
  <c r="F56" i="3" s="1"/>
  <c r="B45" i="3"/>
  <c r="D45" i="3" s="1"/>
  <c r="F45" i="3" s="1"/>
  <c r="B31" i="3"/>
  <c r="D31" i="3" s="1"/>
  <c r="F31" i="3" s="1"/>
  <c r="B18" i="3"/>
  <c r="D18" i="3" s="1"/>
  <c r="F18" i="3" s="1"/>
  <c r="B7" i="3"/>
  <c r="D7" i="3" s="1"/>
  <c r="F7" i="3" s="1"/>
  <c r="B4" i="12"/>
  <c r="B15" i="12"/>
  <c r="B19" i="12"/>
  <c r="B23" i="12"/>
  <c r="B27" i="12"/>
  <c r="B31" i="12"/>
  <c r="B35" i="12"/>
  <c r="B39" i="12"/>
  <c r="B43" i="12"/>
  <c r="B47" i="12"/>
  <c r="B51" i="12"/>
  <c r="B55" i="12"/>
  <c r="B13" i="13"/>
  <c r="B16" i="13"/>
  <c r="B19" i="13"/>
  <c r="B2" i="15"/>
  <c r="B5" i="15"/>
  <c r="B13" i="15"/>
  <c r="B16" i="15"/>
  <c r="B24" i="15"/>
  <c r="B35" i="15"/>
  <c r="C29" i="4"/>
  <c r="K29" i="4" s="1"/>
  <c r="C41" i="4"/>
  <c r="K41" i="4" s="1"/>
  <c r="C53" i="4"/>
  <c r="K53" i="4" s="1"/>
  <c r="C65" i="4"/>
  <c r="K65" i="4" s="1"/>
  <c r="C77" i="4"/>
  <c r="K77" i="4" s="1"/>
  <c r="C89" i="4"/>
  <c r="C101" i="4"/>
  <c r="K101" i="4" s="1"/>
  <c r="C125" i="4"/>
  <c r="C137" i="4"/>
  <c r="K137" i="4" s="1"/>
  <c r="B148" i="3"/>
  <c r="D148" i="3" s="1"/>
  <c r="F148" i="3" s="1"/>
  <c r="B135" i="3"/>
  <c r="D135" i="3" s="1"/>
  <c r="F135" i="3" s="1"/>
  <c r="B123" i="3"/>
  <c r="D123" i="3" s="1"/>
  <c r="F123" i="3" s="1"/>
  <c r="B112" i="3"/>
  <c r="D112" i="3" s="1"/>
  <c r="F112" i="3" s="1"/>
  <c r="B102" i="3"/>
  <c r="D102" i="3" s="1"/>
  <c r="F102" i="3" s="1"/>
  <c r="B91" i="3"/>
  <c r="D91" i="3" s="1"/>
  <c r="F91" i="3" s="1"/>
  <c r="B79" i="3"/>
  <c r="D79" i="3" s="1"/>
  <c r="F79" i="3" s="1"/>
  <c r="B67" i="3"/>
  <c r="D67" i="3" s="1"/>
  <c r="F67" i="3" s="1"/>
  <c r="B54" i="3"/>
  <c r="D54" i="3" s="1"/>
  <c r="F54" i="3" s="1"/>
  <c r="B43" i="3"/>
  <c r="D43" i="3" s="1"/>
  <c r="F43" i="3" s="1"/>
  <c r="B28" i="3"/>
  <c r="D28" i="3" s="1"/>
  <c r="F28" i="3" s="1"/>
  <c r="B16" i="3"/>
  <c r="D16" i="3" s="1"/>
  <c r="F16" i="3" s="1"/>
  <c r="B5" i="3"/>
  <c r="D5" i="3" s="1"/>
  <c r="F5" i="3" s="1"/>
  <c r="B8" i="12"/>
  <c r="B2" i="13"/>
  <c r="B30" i="13"/>
  <c r="B33" i="13"/>
  <c r="B47" i="13"/>
  <c r="B27" i="15"/>
  <c r="B41" i="15"/>
  <c r="B47" i="15"/>
  <c r="B53" i="15"/>
  <c r="B39" i="15"/>
  <c r="C18" i="4"/>
  <c r="K18" i="4" s="1"/>
  <c r="C42" i="4"/>
  <c r="K42" i="4" s="1"/>
  <c r="C78" i="4"/>
  <c r="K78" i="4" s="1"/>
  <c r="B134" i="3"/>
  <c r="D134" i="3" s="1"/>
  <c r="F134" i="3" s="1"/>
  <c r="B111" i="3"/>
  <c r="D111" i="3" s="1"/>
  <c r="F111" i="3" s="1"/>
  <c r="B90" i="3"/>
  <c r="D90" i="3" s="1"/>
  <c r="F90" i="3" s="1"/>
  <c r="B55" i="3"/>
  <c r="D55" i="3" s="1"/>
  <c r="F55" i="3" s="1"/>
  <c r="B3" i="3"/>
  <c r="D3" i="3" s="1"/>
  <c r="F3" i="3" s="1"/>
  <c r="B5" i="13"/>
  <c r="B19" i="15"/>
  <c r="C7" i="4"/>
  <c r="C55" i="4"/>
  <c r="K55" i="4" s="1"/>
  <c r="C139" i="4"/>
  <c r="K139" i="4" s="1"/>
  <c r="B121" i="3"/>
  <c r="D121" i="3" s="1"/>
  <c r="F121" i="3" s="1"/>
  <c r="B101" i="3"/>
  <c r="D101" i="3" s="1"/>
  <c r="F101" i="3" s="1"/>
  <c r="B77" i="3"/>
  <c r="D77" i="3" s="1"/>
  <c r="F77" i="3" s="1"/>
  <c r="B29" i="3"/>
  <c r="D29" i="3" s="1"/>
  <c r="F29" i="3" s="1"/>
  <c r="B5" i="12"/>
  <c r="B20" i="12"/>
  <c r="B28" i="12"/>
  <c r="B44" i="12"/>
  <c r="B52" i="12"/>
  <c r="B8" i="13"/>
  <c r="B25" i="13"/>
  <c r="B39" i="13"/>
  <c r="B11" i="15"/>
  <c r="B22" i="15"/>
  <c r="B50" i="15"/>
  <c r="C32" i="4"/>
  <c r="C44" i="4"/>
  <c r="K44" i="4" s="1"/>
  <c r="C104" i="4"/>
  <c r="K104" i="4" s="1"/>
  <c r="C140" i="4"/>
  <c r="K140" i="4" s="1"/>
  <c r="B88" i="3"/>
  <c r="D88" i="3" s="1"/>
  <c r="F88" i="3" s="1"/>
  <c r="B64" i="3"/>
  <c r="D64" i="3" s="1"/>
  <c r="F64" i="3" s="1"/>
  <c r="B40" i="3"/>
  <c r="D40" i="3" s="1"/>
  <c r="F40" i="3" s="1"/>
  <c r="B2" i="3"/>
  <c r="D2" i="3" s="1"/>
  <c r="F2" i="3" s="1"/>
  <c r="B9" i="12"/>
  <c r="B14" i="13"/>
  <c r="B17" i="13"/>
  <c r="B45" i="13"/>
  <c r="B14" i="15"/>
  <c r="B17" i="15"/>
  <c r="B25" i="15"/>
  <c r="B36" i="15"/>
  <c r="C33" i="4"/>
  <c r="C45" i="4"/>
  <c r="K45" i="4" s="1"/>
  <c r="C69" i="4"/>
  <c r="C93" i="4"/>
  <c r="K93" i="4" s="1"/>
  <c r="C105" i="4"/>
  <c r="K105" i="4" s="1"/>
  <c r="C117" i="4"/>
  <c r="K117" i="4" s="1"/>
  <c r="C129" i="4"/>
  <c r="K129" i="4" s="1"/>
  <c r="C141" i="4"/>
  <c r="K141" i="4" s="1"/>
  <c r="C153" i="4"/>
  <c r="K153" i="4" s="1"/>
  <c r="B144" i="3"/>
  <c r="D144" i="3" s="1"/>
  <c r="F144" i="3" s="1"/>
  <c r="B131" i="3"/>
  <c r="D131" i="3" s="1"/>
  <c r="F131" i="3" s="1"/>
  <c r="B119" i="3"/>
  <c r="D119" i="3" s="1"/>
  <c r="F119" i="3" s="1"/>
  <c r="B109" i="3"/>
  <c r="D109" i="3" s="1"/>
  <c r="F109" i="3" s="1"/>
  <c r="B97" i="3"/>
  <c r="D97" i="3" s="1"/>
  <c r="F97" i="3" s="1"/>
  <c r="B87" i="3"/>
  <c r="D87" i="3" s="1"/>
  <c r="F87" i="3" s="1"/>
  <c r="B75" i="3"/>
  <c r="D75" i="3" s="1"/>
  <c r="F75" i="3" s="1"/>
  <c r="B63" i="3"/>
  <c r="D63" i="3" s="1"/>
  <c r="F63" i="3" s="1"/>
  <c r="B51" i="3"/>
  <c r="D51" i="3" s="1"/>
  <c r="F51" i="3" s="1"/>
  <c r="B39" i="3"/>
  <c r="D39" i="3" s="1"/>
  <c r="F39" i="3" s="1"/>
  <c r="B25" i="3"/>
  <c r="D25" i="3" s="1"/>
  <c r="F25" i="3" s="1"/>
  <c r="B13" i="3"/>
  <c r="D13" i="3" s="1"/>
  <c r="F13" i="3" s="1"/>
  <c r="B3" i="13"/>
  <c r="B20" i="13"/>
  <c r="B31" i="13"/>
  <c r="B34" i="13"/>
  <c r="B48" i="13"/>
  <c r="B3" i="15"/>
  <c r="B6" i="15"/>
  <c r="B30" i="3"/>
  <c r="D30" i="3" s="1"/>
  <c r="F30" i="3" s="1"/>
  <c r="C91" i="4"/>
  <c r="K91" i="4" s="1"/>
  <c r="B146" i="3"/>
  <c r="D146" i="3" s="1"/>
  <c r="F146" i="3" s="1"/>
  <c r="B41" i="3"/>
  <c r="D41" i="3" s="1"/>
  <c r="F41" i="3" s="1"/>
  <c r="C20" i="4"/>
  <c r="C80" i="4"/>
  <c r="C128" i="4"/>
  <c r="K128" i="4" s="1"/>
  <c r="B145" i="3"/>
  <c r="D145" i="3" s="1"/>
  <c r="F145" i="3" s="1"/>
  <c r="B120" i="3"/>
  <c r="D120" i="3" s="1"/>
  <c r="F120" i="3" s="1"/>
  <c r="B76" i="3"/>
  <c r="D76" i="3" s="1"/>
  <c r="F76" i="3" s="1"/>
  <c r="B27" i="3"/>
  <c r="D27" i="3" s="1"/>
  <c r="F27" i="3" s="1"/>
  <c r="C34" i="4"/>
  <c r="K34" i="4" s="1"/>
  <c r="C58" i="4"/>
  <c r="K58" i="4" s="1"/>
  <c r="C82" i="4"/>
  <c r="K82" i="4" s="1"/>
  <c r="C94" i="4"/>
  <c r="K94" i="4" s="1"/>
  <c r="C106" i="4"/>
  <c r="K106" i="4" s="1"/>
  <c r="C130" i="4"/>
  <c r="C154" i="4"/>
  <c r="K154" i="4" s="1"/>
  <c r="B155" i="3"/>
  <c r="D155" i="3" s="1"/>
  <c r="F155" i="3" s="1"/>
  <c r="B143" i="3"/>
  <c r="D143" i="3" s="1"/>
  <c r="F143" i="3" s="1"/>
  <c r="B130" i="3"/>
  <c r="D130" i="3" s="1"/>
  <c r="F130" i="3" s="1"/>
  <c r="B118" i="3"/>
  <c r="D118" i="3" s="1"/>
  <c r="F118" i="3" s="1"/>
  <c r="B108" i="3"/>
  <c r="D108" i="3" s="1"/>
  <c r="F108" i="3" s="1"/>
  <c r="B98" i="3"/>
  <c r="D98" i="3" s="1"/>
  <c r="F98" i="3" s="1"/>
  <c r="B84" i="3"/>
  <c r="D84" i="3" s="1"/>
  <c r="F84" i="3" s="1"/>
  <c r="B74" i="3"/>
  <c r="D74" i="3" s="1"/>
  <c r="F74" i="3" s="1"/>
  <c r="B62" i="3"/>
  <c r="D62" i="3" s="1"/>
  <c r="F62" i="3" s="1"/>
  <c r="B49" i="3"/>
  <c r="D49" i="3" s="1"/>
  <c r="F49" i="3" s="1"/>
  <c r="B37" i="3"/>
  <c r="D37" i="3" s="1"/>
  <c r="F37" i="3" s="1"/>
  <c r="B24" i="3"/>
  <c r="D24" i="3" s="1"/>
  <c r="F24" i="3" s="1"/>
  <c r="B12" i="3"/>
  <c r="D12" i="3" s="1"/>
  <c r="F12" i="3" s="1"/>
  <c r="B2" i="12"/>
  <c r="B6" i="12"/>
  <c r="B13" i="12"/>
  <c r="B17" i="12"/>
  <c r="B21" i="12"/>
  <c r="B25" i="12"/>
  <c r="B29" i="12"/>
  <c r="B33" i="12"/>
  <c r="B37" i="12"/>
  <c r="B41" i="12"/>
  <c r="B45" i="12"/>
  <c r="B49" i="12"/>
  <c r="B53" i="12"/>
  <c r="B37" i="13"/>
  <c r="B9" i="15"/>
  <c r="B20" i="15"/>
  <c r="B28" i="15"/>
  <c r="B31" i="15"/>
  <c r="B42" i="15"/>
  <c r="B45" i="15"/>
  <c r="B48" i="15"/>
  <c r="C90" i="4"/>
  <c r="B30" i="15"/>
  <c r="B65" i="3"/>
  <c r="D65" i="3" s="1"/>
  <c r="F65" i="3" s="1"/>
  <c r="B32" i="12"/>
  <c r="B44" i="15"/>
  <c r="C8" i="4"/>
  <c r="K8" i="4" s="1"/>
  <c r="C56" i="4"/>
  <c r="K56" i="4" s="1"/>
  <c r="C116" i="4"/>
  <c r="C152" i="4"/>
  <c r="K152" i="4" s="1"/>
  <c r="B132" i="3"/>
  <c r="D132" i="3" s="1"/>
  <c r="F132" i="3" s="1"/>
  <c r="B99" i="3"/>
  <c r="D99" i="3" s="1"/>
  <c r="F99" i="3" s="1"/>
  <c r="B52" i="3"/>
  <c r="D52" i="3" s="1"/>
  <c r="F52" i="3" s="1"/>
  <c r="B14" i="3"/>
  <c r="D14" i="3" s="1"/>
  <c r="F14" i="3" s="1"/>
  <c r="C11" i="4"/>
  <c r="K11" i="4" s="1"/>
  <c r="C47" i="4"/>
  <c r="C71" i="4"/>
  <c r="K71" i="4" s="1"/>
  <c r="C83" i="4"/>
  <c r="K83" i="4" s="1"/>
  <c r="C95" i="4"/>
  <c r="K95" i="4" s="1"/>
  <c r="C155" i="4"/>
  <c r="K155" i="4" s="1"/>
  <c r="B154" i="3"/>
  <c r="D154" i="3" s="1"/>
  <c r="F154" i="3" s="1"/>
  <c r="B141" i="3"/>
  <c r="D141" i="3" s="1"/>
  <c r="F141" i="3" s="1"/>
  <c r="B129" i="3"/>
  <c r="D129" i="3" s="1"/>
  <c r="F129" i="3" s="1"/>
  <c r="B117" i="3"/>
  <c r="D117" i="3" s="1"/>
  <c r="F117" i="3" s="1"/>
  <c r="B107" i="3"/>
  <c r="D107" i="3" s="1"/>
  <c r="F107" i="3" s="1"/>
  <c r="B95" i="3"/>
  <c r="D95" i="3" s="1"/>
  <c r="F95" i="3" s="1"/>
  <c r="B86" i="3"/>
  <c r="D86" i="3" s="1"/>
  <c r="F86" i="3" s="1"/>
  <c r="B73" i="3"/>
  <c r="D73" i="3" s="1"/>
  <c r="F73" i="3" s="1"/>
  <c r="B61" i="3"/>
  <c r="D61" i="3" s="1"/>
  <c r="F61" i="3" s="1"/>
  <c r="B50" i="3"/>
  <c r="D50" i="3" s="1"/>
  <c r="F50" i="3" s="1"/>
  <c r="B38" i="3"/>
  <c r="D38" i="3" s="1"/>
  <c r="F38" i="3" s="1"/>
  <c r="B23" i="3"/>
  <c r="D23" i="3" s="1"/>
  <c r="F23" i="3" s="1"/>
  <c r="B11" i="3"/>
  <c r="D11" i="3" s="1"/>
  <c r="F11" i="3" s="1"/>
  <c r="B10" i="12"/>
  <c r="B6" i="13"/>
  <c r="B9" i="13"/>
  <c r="B12" i="13"/>
  <c r="B23" i="13"/>
  <c r="B26" i="13"/>
  <c r="B40" i="13"/>
  <c r="B43" i="13"/>
  <c r="B23" i="15"/>
  <c r="B34" i="15"/>
  <c r="B51" i="15"/>
  <c r="C115" i="4"/>
  <c r="K115" i="4" s="1"/>
  <c r="B110" i="3"/>
  <c r="D110" i="3" s="1"/>
  <c r="F110" i="3" s="1"/>
  <c r="C72" i="4"/>
  <c r="K72" i="4" s="1"/>
  <c r="C120" i="4"/>
  <c r="K120" i="4" s="1"/>
  <c r="C144" i="4"/>
  <c r="C156" i="4"/>
  <c r="K156" i="4" s="1"/>
  <c r="B153" i="3"/>
  <c r="D153" i="3" s="1"/>
  <c r="F153" i="3" s="1"/>
  <c r="B139" i="3"/>
  <c r="D139" i="3" s="1"/>
  <c r="F139" i="3" s="1"/>
  <c r="B128" i="3"/>
  <c r="D128" i="3" s="1"/>
  <c r="F128" i="3" s="1"/>
  <c r="B116" i="3"/>
  <c r="D116" i="3" s="1"/>
  <c r="F116" i="3" s="1"/>
  <c r="B35" i="3"/>
  <c r="D35" i="3" s="1"/>
  <c r="F35" i="3" s="1"/>
  <c r="B96" i="3"/>
  <c r="D96" i="3" s="1"/>
  <c r="F96" i="3" s="1"/>
  <c r="B85" i="3"/>
  <c r="D85" i="3" s="1"/>
  <c r="F85" i="3" s="1"/>
  <c r="B72" i="3"/>
  <c r="D72" i="3" s="1"/>
  <c r="F72" i="3" s="1"/>
  <c r="B60" i="3"/>
  <c r="D60" i="3" s="1"/>
  <c r="F60" i="3" s="1"/>
  <c r="B48" i="3"/>
  <c r="D48" i="3" s="1"/>
  <c r="F48" i="3" s="1"/>
  <c r="B36" i="3"/>
  <c r="D36" i="3" s="1"/>
  <c r="F36" i="3" s="1"/>
  <c r="B21" i="3"/>
  <c r="D21" i="3" s="1"/>
  <c r="F21" i="3" s="1"/>
  <c r="B10" i="3"/>
  <c r="D10" i="3" s="1"/>
  <c r="F10" i="3" s="1"/>
  <c r="B15" i="13"/>
  <c r="B18" i="13"/>
  <c r="B29" i="13"/>
  <c r="B12" i="15"/>
  <c r="B15" i="15"/>
  <c r="B37" i="15"/>
  <c r="B33" i="15"/>
  <c r="C67" i="4"/>
  <c r="K67" i="4" s="1"/>
  <c r="B15" i="3"/>
  <c r="D15" i="3" s="1"/>
  <c r="F15" i="3" s="1"/>
  <c r="B40" i="12"/>
  <c r="C12" i="4"/>
  <c r="K12" i="4" s="1"/>
  <c r="C48" i="4"/>
  <c r="K48" i="4" s="1"/>
  <c r="C133" i="4"/>
  <c r="B106" i="3"/>
  <c r="D106" i="3" s="1"/>
  <c r="F106" i="3" s="1"/>
  <c r="B22" i="3"/>
  <c r="D22" i="3" s="1"/>
  <c r="F22" i="3" s="1"/>
  <c r="B14" i="12"/>
  <c r="B42" i="12"/>
  <c r="B35" i="13"/>
  <c r="B46" i="13"/>
  <c r="B49" i="13"/>
  <c r="B4" i="15"/>
  <c r="B7" i="15"/>
  <c r="B18" i="15"/>
  <c r="B26" i="15"/>
  <c r="B40" i="15"/>
  <c r="G3" i="6"/>
  <c r="G114" i="6"/>
  <c r="G113" i="6"/>
  <c r="E153" i="6"/>
  <c r="E137" i="6"/>
  <c r="E121" i="6"/>
  <c r="E105" i="6"/>
  <c r="E89" i="6"/>
  <c r="E73" i="6"/>
  <c r="E57" i="6"/>
  <c r="E41" i="6"/>
  <c r="E25" i="6"/>
  <c r="E9" i="6"/>
  <c r="G144" i="6"/>
  <c r="G128" i="6"/>
  <c r="G112" i="6"/>
  <c r="G96" i="6"/>
  <c r="G80" i="6"/>
  <c r="G64" i="6"/>
  <c r="G48" i="6"/>
  <c r="G32" i="6"/>
  <c r="G16" i="6"/>
  <c r="E43" i="6"/>
  <c r="G50" i="6"/>
  <c r="E152" i="6"/>
  <c r="E136" i="6"/>
  <c r="E120" i="6"/>
  <c r="E104" i="6"/>
  <c r="E88" i="6"/>
  <c r="E72" i="6"/>
  <c r="E56" i="6"/>
  <c r="E40" i="6"/>
  <c r="E24" i="6"/>
  <c r="E8" i="6"/>
  <c r="G143" i="6"/>
  <c r="G127" i="6"/>
  <c r="G111" i="6"/>
  <c r="G95" i="6"/>
  <c r="G79" i="6"/>
  <c r="G63" i="6"/>
  <c r="G47" i="6"/>
  <c r="G31" i="6"/>
  <c r="G15" i="6"/>
  <c r="E59" i="6"/>
  <c r="G34" i="6"/>
  <c r="E58" i="6"/>
  <c r="G129" i="6"/>
  <c r="G81" i="6"/>
  <c r="E151" i="6"/>
  <c r="E135" i="6"/>
  <c r="E119" i="6"/>
  <c r="E103" i="6"/>
  <c r="E87" i="6"/>
  <c r="E71" i="6"/>
  <c r="E55" i="6"/>
  <c r="E39" i="6"/>
  <c r="E23" i="6"/>
  <c r="E7" i="6"/>
  <c r="E2" i="6"/>
  <c r="G142" i="6"/>
  <c r="G126" i="6"/>
  <c r="G110" i="6"/>
  <c r="G94" i="6"/>
  <c r="G78" i="6"/>
  <c r="G62" i="6"/>
  <c r="G46" i="6"/>
  <c r="G30" i="6"/>
  <c r="G14" i="6"/>
  <c r="E150" i="6"/>
  <c r="E134" i="6"/>
  <c r="E118" i="6"/>
  <c r="E102" i="6"/>
  <c r="E86" i="6"/>
  <c r="E70" i="6"/>
  <c r="E54" i="6"/>
  <c r="E38" i="6"/>
  <c r="E22" i="6"/>
  <c r="E6" i="6"/>
  <c r="G2" i="6"/>
  <c r="G141" i="6"/>
  <c r="G125" i="6"/>
  <c r="G109" i="6"/>
  <c r="G93" i="6"/>
  <c r="G77" i="6"/>
  <c r="G61" i="6"/>
  <c r="G45" i="6"/>
  <c r="G29" i="6"/>
  <c r="G13" i="6"/>
  <c r="E107" i="6"/>
  <c r="G18" i="6"/>
  <c r="E138" i="6"/>
  <c r="E42" i="6"/>
  <c r="G65" i="6"/>
  <c r="E149" i="6"/>
  <c r="E133" i="6"/>
  <c r="E117" i="6"/>
  <c r="E101" i="6"/>
  <c r="E85" i="6"/>
  <c r="E69" i="6"/>
  <c r="E53" i="6"/>
  <c r="E37" i="6"/>
  <c r="E21" i="6"/>
  <c r="E5" i="6"/>
  <c r="G156" i="6"/>
  <c r="G140" i="6"/>
  <c r="G124" i="6"/>
  <c r="G108" i="6"/>
  <c r="G92" i="6"/>
  <c r="G76" i="6"/>
  <c r="G60" i="6"/>
  <c r="G44" i="6"/>
  <c r="G28" i="6"/>
  <c r="G12" i="6"/>
  <c r="E90" i="6"/>
  <c r="E148" i="6"/>
  <c r="E132" i="6"/>
  <c r="E116" i="6"/>
  <c r="E100" i="6"/>
  <c r="E84" i="6"/>
  <c r="E68" i="6"/>
  <c r="E52" i="6"/>
  <c r="E36" i="6"/>
  <c r="E20" i="6"/>
  <c r="E4" i="6"/>
  <c r="G155" i="6"/>
  <c r="G139" i="6"/>
  <c r="G123" i="6"/>
  <c r="G107" i="6"/>
  <c r="G91" i="6"/>
  <c r="G75" i="6"/>
  <c r="G59" i="6"/>
  <c r="G43" i="6"/>
  <c r="G27" i="6"/>
  <c r="G11" i="6"/>
  <c r="E75" i="6"/>
  <c r="E122" i="6"/>
  <c r="E26" i="6"/>
  <c r="G97" i="6"/>
  <c r="E147" i="6"/>
  <c r="E131" i="6"/>
  <c r="E115" i="6"/>
  <c r="E99" i="6"/>
  <c r="E83" i="6"/>
  <c r="E67" i="6"/>
  <c r="E51" i="6"/>
  <c r="E35" i="6"/>
  <c r="E19" i="6"/>
  <c r="E3" i="6"/>
  <c r="G154" i="6"/>
  <c r="G138" i="6"/>
  <c r="G122" i="6"/>
  <c r="G106" i="6"/>
  <c r="G90" i="6"/>
  <c r="G74" i="6"/>
  <c r="G58" i="6"/>
  <c r="G42" i="6"/>
  <c r="G26" i="6"/>
  <c r="G10" i="6"/>
  <c r="E123" i="6"/>
  <c r="G98" i="6"/>
  <c r="E146" i="6"/>
  <c r="E130" i="6"/>
  <c r="E114" i="6"/>
  <c r="E98" i="6"/>
  <c r="E82" i="6"/>
  <c r="E66" i="6"/>
  <c r="E50" i="6"/>
  <c r="E34" i="6"/>
  <c r="E18" i="6"/>
  <c r="G153" i="6"/>
  <c r="G137" i="6"/>
  <c r="G121" i="6"/>
  <c r="G105" i="6"/>
  <c r="G89" i="6"/>
  <c r="G73" i="6"/>
  <c r="G57" i="6"/>
  <c r="G41" i="6"/>
  <c r="G25" i="6"/>
  <c r="G9" i="6"/>
  <c r="G146" i="6"/>
  <c r="E154" i="6"/>
  <c r="G33" i="6"/>
  <c r="E145" i="6"/>
  <c r="E129" i="6"/>
  <c r="E113" i="6"/>
  <c r="E97" i="6"/>
  <c r="E81" i="6"/>
  <c r="E65" i="6"/>
  <c r="E49" i="6"/>
  <c r="E33" i="6"/>
  <c r="E17" i="6"/>
  <c r="G152" i="6"/>
  <c r="G136" i="6"/>
  <c r="G120" i="6"/>
  <c r="G104" i="6"/>
  <c r="G88" i="6"/>
  <c r="G72" i="6"/>
  <c r="G56" i="6"/>
  <c r="G40" i="6"/>
  <c r="G24" i="6"/>
  <c r="G8" i="6"/>
  <c r="E106" i="6"/>
  <c r="E10" i="6"/>
  <c r="G49" i="6"/>
  <c r="E144" i="6"/>
  <c r="E128" i="6"/>
  <c r="E112" i="6"/>
  <c r="E96" i="6"/>
  <c r="E80" i="6"/>
  <c r="E64" i="6"/>
  <c r="E48" i="6"/>
  <c r="E32" i="6"/>
  <c r="E16" i="6"/>
  <c r="G151" i="6"/>
  <c r="G135" i="6"/>
  <c r="G119" i="6"/>
  <c r="G103" i="6"/>
  <c r="G87" i="6"/>
  <c r="G71" i="6"/>
  <c r="G55" i="6"/>
  <c r="G39" i="6"/>
  <c r="G23" i="6"/>
  <c r="G7" i="6"/>
  <c r="E139" i="6"/>
  <c r="E11" i="6"/>
  <c r="G82" i="6"/>
  <c r="E74" i="6"/>
  <c r="G145" i="6"/>
  <c r="G17" i="6"/>
  <c r="E143" i="6"/>
  <c r="E127" i="6"/>
  <c r="E111" i="6"/>
  <c r="E95" i="6"/>
  <c r="E79" i="6"/>
  <c r="E63" i="6"/>
  <c r="E47" i="6"/>
  <c r="E31" i="6"/>
  <c r="E15" i="6"/>
  <c r="G150" i="6"/>
  <c r="G134" i="6"/>
  <c r="G118" i="6"/>
  <c r="G102" i="6"/>
  <c r="G86" i="6"/>
  <c r="G70" i="6"/>
  <c r="G54" i="6"/>
  <c r="G38" i="6"/>
  <c r="G22" i="6"/>
  <c r="G6" i="6"/>
  <c r="E27" i="6"/>
  <c r="G66" i="6"/>
  <c r="E142" i="6"/>
  <c r="E126" i="6"/>
  <c r="E110" i="6"/>
  <c r="E94" i="6"/>
  <c r="E78" i="6"/>
  <c r="E62" i="6"/>
  <c r="E46" i="6"/>
  <c r="E30" i="6"/>
  <c r="E14" i="6"/>
  <c r="G149" i="6"/>
  <c r="G133" i="6"/>
  <c r="G117" i="6"/>
  <c r="G101" i="6"/>
  <c r="G85" i="6"/>
  <c r="G69" i="6"/>
  <c r="G53" i="6"/>
  <c r="G37" i="6"/>
  <c r="G21" i="6"/>
  <c r="G5" i="6"/>
  <c r="E155" i="6"/>
  <c r="G130" i="6"/>
  <c r="C2" i="1"/>
  <c r="E141" i="6"/>
  <c r="E125" i="6"/>
  <c r="E109" i="6"/>
  <c r="E93" i="6"/>
  <c r="E77" i="6"/>
  <c r="E61" i="6"/>
  <c r="E45" i="6"/>
  <c r="E29" i="6"/>
  <c r="E13" i="6"/>
  <c r="G148" i="6"/>
  <c r="G132" i="6"/>
  <c r="G116" i="6"/>
  <c r="G100" i="6"/>
  <c r="G84" i="6"/>
  <c r="G68" i="6"/>
  <c r="G52" i="6"/>
  <c r="G36" i="6"/>
  <c r="G20" i="6"/>
  <c r="G4" i="6"/>
  <c r="E91" i="6"/>
  <c r="E156" i="6"/>
  <c r="E140" i="6"/>
  <c r="E124" i="6"/>
  <c r="E108" i="6"/>
  <c r="E92" i="6"/>
  <c r="E76" i="6"/>
  <c r="E60" i="6"/>
  <c r="E44" i="6"/>
  <c r="E28" i="6"/>
  <c r="E12" i="6"/>
  <c r="G147" i="6"/>
  <c r="G131" i="6"/>
  <c r="G115" i="6"/>
  <c r="G99" i="6"/>
  <c r="G83" i="6"/>
  <c r="G67" i="6"/>
  <c r="G51" i="6"/>
  <c r="G35" i="6"/>
  <c r="G19" i="6"/>
  <c r="J8" i="3"/>
  <c r="J6" i="3"/>
  <c r="J7" i="3"/>
  <c r="J5" i="3"/>
  <c r="J3" i="3"/>
  <c r="J4" i="3"/>
  <c r="J2" i="3"/>
  <c r="K110" i="4"/>
  <c r="I54" i="4"/>
  <c r="J54" i="4" s="1"/>
  <c r="I22" i="4"/>
  <c r="J22" i="4" s="1"/>
  <c r="C126" i="4"/>
  <c r="K126" i="4" s="1"/>
  <c r="K136" i="4"/>
  <c r="K121" i="4"/>
  <c r="L131" i="4"/>
  <c r="C46" i="4"/>
  <c r="I109" i="4"/>
  <c r="J109" i="4" s="1"/>
  <c r="L99" i="4"/>
  <c r="K88" i="4"/>
  <c r="K73" i="4"/>
  <c r="C142" i="4"/>
  <c r="K57" i="4"/>
  <c r="L50" i="4"/>
  <c r="L35" i="4"/>
  <c r="K40" i="4"/>
  <c r="C70" i="4"/>
  <c r="K9" i="4"/>
  <c r="L19" i="4"/>
  <c r="C38" i="4"/>
  <c r="K26" i="4"/>
  <c r="K10" i="4"/>
  <c r="L68" i="4"/>
  <c r="L4" i="4"/>
  <c r="I143" i="4"/>
  <c r="J143" i="4" s="1"/>
  <c r="I111" i="4"/>
  <c r="J111" i="4" s="1"/>
  <c r="K119" i="4"/>
  <c r="K103" i="4"/>
  <c r="K87" i="4"/>
  <c r="K23" i="4"/>
  <c r="L113" i="4"/>
  <c r="L97" i="4"/>
  <c r="L81" i="4"/>
  <c r="L17" i="4"/>
  <c r="I108" i="4"/>
  <c r="J108" i="4" s="1"/>
  <c r="I92" i="4"/>
  <c r="J92" i="4" s="1"/>
  <c r="I60" i="4"/>
  <c r="J60" i="4" s="1"/>
  <c r="K54" i="4"/>
  <c r="K22" i="4"/>
  <c r="L112" i="4"/>
  <c r="L96" i="4"/>
  <c r="I107" i="4"/>
  <c r="J107" i="4" s="1"/>
  <c r="I59" i="4"/>
  <c r="J59" i="4" s="1"/>
  <c r="I43" i="4"/>
  <c r="J43" i="4" s="1"/>
  <c r="C14" i="4"/>
  <c r="K149" i="4"/>
  <c r="K85" i="4"/>
  <c r="K37" i="4"/>
  <c r="K21" i="4"/>
  <c r="K5" i="4"/>
  <c r="L143" i="4"/>
  <c r="L111" i="4"/>
  <c r="C86" i="4"/>
  <c r="K132" i="4"/>
  <c r="K116" i="4"/>
  <c r="K68" i="4"/>
  <c r="K36" i="4"/>
  <c r="K20" i="4"/>
  <c r="K4" i="4"/>
  <c r="K131" i="4"/>
  <c r="K99" i="4"/>
  <c r="K35" i="4"/>
  <c r="K19" i="4"/>
  <c r="L109" i="4"/>
  <c r="K130" i="4"/>
  <c r="K50" i="4"/>
  <c r="L108" i="4"/>
  <c r="L92" i="4"/>
  <c r="L60" i="4"/>
  <c r="K113" i="4"/>
  <c r="K97" i="4"/>
  <c r="K81" i="4"/>
  <c r="K17" i="4"/>
  <c r="L107" i="4"/>
  <c r="L59" i="4"/>
  <c r="L43" i="4"/>
  <c r="C118" i="4"/>
  <c r="K112" i="4"/>
  <c r="K96" i="4"/>
  <c r="K80" i="4"/>
  <c r="K32" i="4"/>
  <c r="L26" i="4"/>
  <c r="L10" i="4"/>
  <c r="L121" i="4"/>
  <c r="L73" i="4"/>
  <c r="L57" i="4"/>
  <c r="L9" i="4"/>
  <c r="C6" i="4"/>
  <c r="C134" i="4"/>
  <c r="L88" i="4"/>
  <c r="L40" i="4"/>
  <c r="L119" i="4"/>
  <c r="L103" i="4"/>
  <c r="L87" i="4"/>
  <c r="L23" i="4"/>
  <c r="L149" i="4"/>
  <c r="L37" i="4"/>
  <c r="L21" i="4"/>
  <c r="L5" i="4"/>
  <c r="M92" i="4"/>
  <c r="M68" i="4"/>
  <c r="M96" i="4"/>
  <c r="M119" i="4"/>
  <c r="M87" i="4"/>
  <c r="M19" i="4"/>
  <c r="M149" i="4"/>
  <c r="M88" i="4"/>
  <c r="M81" i="4"/>
  <c r="M57" i="4"/>
  <c r="M121" i="4"/>
  <c r="M131" i="4"/>
  <c r="M50" i="4"/>
  <c r="M5" i="4"/>
  <c r="M37" i="4"/>
  <c r="M103" i="4"/>
  <c r="M23" i="4"/>
  <c r="M9" i="4"/>
  <c r="L2" i="6" l="1" a="1"/>
  <c r="L2" i="6" s="1"/>
  <c r="K69" i="4"/>
  <c r="K7" i="4"/>
  <c r="K27" i="4"/>
  <c r="K52" i="4"/>
  <c r="K133" i="4"/>
  <c r="K47" i="4"/>
  <c r="K125" i="4"/>
  <c r="K70" i="4"/>
  <c r="K90" i="4"/>
  <c r="K122" i="4"/>
  <c r="K144" i="4"/>
  <c r="K100" i="4"/>
  <c r="K89" i="4"/>
  <c r="K33" i="4"/>
  <c r="C7" i="1"/>
  <c r="C8" i="1"/>
  <c r="C5" i="1"/>
  <c r="C4" i="1"/>
  <c r="C3" i="1"/>
  <c r="C6" i="1"/>
  <c r="I110" i="4"/>
  <c r="J110" i="4" s="1"/>
  <c r="K46" i="4"/>
  <c r="K142" i="4"/>
  <c r="K6" i="4"/>
  <c r="K14" i="4"/>
  <c r="K118" i="4"/>
  <c r="K38" i="4"/>
  <c r="K134" i="4"/>
  <c r="I102" i="4"/>
  <c r="J102" i="4" s="1"/>
  <c r="K102" i="4"/>
  <c r="I150" i="4"/>
  <c r="J150" i="4" s="1"/>
  <c r="K150" i="4"/>
  <c r="K86" i="4"/>
  <c r="M59" i="4"/>
  <c r="M4" i="4"/>
  <c r="M21" i="4"/>
  <c r="M54" i="4"/>
  <c r="M17" i="4"/>
  <c r="M107" i="4"/>
  <c r="M110" i="4"/>
  <c r="M112" i="4"/>
  <c r="M113" i="4"/>
  <c r="M22" i="4"/>
  <c r="M99" i="4"/>
  <c r="M109" i="4"/>
  <c r="M10" i="4"/>
  <c r="M40" i="4"/>
  <c r="M108" i="4"/>
  <c r="M60" i="4"/>
  <c r="M35" i="4"/>
  <c r="M73" i="4"/>
  <c r="M111" i="4"/>
  <c r="M143" i="4"/>
  <c r="M43" i="4"/>
  <c r="M26" i="4"/>
  <c r="M97" i="4"/>
  <c r="J19" i="3" l="1"/>
  <c r="J38" i="3"/>
  <c r="J53" i="3"/>
  <c r="J69" i="3"/>
  <c r="J86" i="3"/>
  <c r="J101" i="3"/>
  <c r="J20" i="3"/>
  <c r="J37" i="3"/>
  <c r="J55" i="3"/>
  <c r="J70" i="3"/>
  <c r="J84" i="3"/>
  <c r="J100" i="3"/>
  <c r="J22" i="3"/>
  <c r="J39" i="3"/>
  <c r="J54" i="3"/>
  <c r="J71" i="3"/>
  <c r="J87" i="3"/>
  <c r="J21" i="3"/>
  <c r="J40" i="3"/>
  <c r="J56" i="3"/>
  <c r="J72" i="3"/>
  <c r="J88" i="3"/>
  <c r="J23" i="3"/>
  <c r="J41" i="3"/>
  <c r="J59" i="3"/>
  <c r="J73" i="3"/>
  <c r="J89" i="3"/>
  <c r="J24" i="3"/>
  <c r="J42" i="3"/>
  <c r="J58" i="3"/>
  <c r="J74" i="3"/>
  <c r="J90" i="3"/>
  <c r="J9" i="3"/>
  <c r="J25" i="3"/>
  <c r="J43" i="3"/>
  <c r="J57" i="3"/>
  <c r="J75" i="3"/>
  <c r="J91" i="3"/>
  <c r="J10" i="3"/>
  <c r="J27" i="3"/>
  <c r="J45" i="3"/>
  <c r="J60" i="3"/>
  <c r="J76" i="3"/>
  <c r="J92" i="3"/>
  <c r="J52" i="3"/>
  <c r="J11" i="3"/>
  <c r="J29" i="3"/>
  <c r="J44" i="3"/>
  <c r="J61" i="3"/>
  <c r="J77" i="3"/>
  <c r="J12" i="3"/>
  <c r="J30" i="3"/>
  <c r="J46" i="3"/>
  <c r="J62" i="3"/>
  <c r="J78" i="3"/>
  <c r="J93" i="3"/>
  <c r="J99" i="3"/>
  <c r="J13" i="3"/>
  <c r="J28" i="3"/>
  <c r="J47" i="3"/>
  <c r="J63" i="3"/>
  <c r="J79" i="3"/>
  <c r="J94" i="3"/>
  <c r="J68" i="3"/>
  <c r="J14" i="3"/>
  <c r="J31" i="3"/>
  <c r="J48" i="3"/>
  <c r="J64" i="3"/>
  <c r="J80" i="3"/>
  <c r="J96" i="3"/>
  <c r="J85" i="3"/>
  <c r="J15" i="3"/>
  <c r="J32" i="3"/>
  <c r="J50" i="3"/>
  <c r="J65" i="3"/>
  <c r="J81" i="3"/>
  <c r="J95" i="3"/>
  <c r="J17" i="3"/>
  <c r="J33" i="3"/>
  <c r="J49" i="3"/>
  <c r="J66" i="3"/>
  <c r="J82" i="3"/>
  <c r="J98" i="3"/>
  <c r="J36" i="3"/>
  <c r="J16" i="3"/>
  <c r="J34" i="3"/>
  <c r="J51" i="3"/>
  <c r="J67" i="3"/>
  <c r="J83" i="3"/>
  <c r="J97" i="3"/>
  <c r="J18" i="3"/>
  <c r="M102" i="4"/>
  <c r="M150" i="4"/>
  <c r="C23" i="1" l="1"/>
  <c r="C11" i="1"/>
  <c r="C14" i="1"/>
  <c r="C13" i="1"/>
  <c r="C10" i="1"/>
  <c r="C19" i="1"/>
  <c r="C12" i="1"/>
  <c r="C20" i="1"/>
  <c r="C22" i="1"/>
  <c r="C25" i="1"/>
  <c r="C17" i="1"/>
  <c r="C16" i="1"/>
  <c r="C15" i="1"/>
  <c r="C9" i="1"/>
  <c r="C18" i="1"/>
  <c r="C21" i="1"/>
  <c r="C24" i="1"/>
  <c r="J115" i="3" l="1"/>
  <c r="J135" i="3"/>
  <c r="J155" i="3"/>
  <c r="J127" i="3"/>
  <c r="J130" i="3"/>
  <c r="J152" i="3"/>
  <c r="J114" i="3"/>
  <c r="J144" i="3"/>
  <c r="J147" i="3"/>
  <c r="J102" i="3"/>
  <c r="J35" i="3"/>
  <c r="J109" i="3"/>
  <c r="J116" i="3"/>
  <c r="J121" i="3"/>
  <c r="J124" i="3"/>
  <c r="J139" i="3"/>
  <c r="J107" i="3"/>
  <c r="J141" i="3"/>
  <c r="J132" i="3"/>
  <c r="J136" i="3"/>
  <c r="J149" i="3"/>
  <c r="J104" i="3"/>
  <c r="J154" i="3"/>
  <c r="J145" i="3"/>
  <c r="J150" i="3"/>
  <c r="J146" i="3"/>
  <c r="J118" i="3"/>
  <c r="J111" i="3"/>
  <c r="J134" i="3"/>
  <c r="J125" i="3"/>
  <c r="J151" i="3"/>
  <c r="J106" i="3"/>
  <c r="J108" i="3"/>
  <c r="J143" i="3"/>
  <c r="J126" i="3"/>
  <c r="J26" i="3"/>
  <c r="J120" i="3"/>
  <c r="J123" i="3"/>
  <c r="J113" i="3"/>
  <c r="J128" i="3"/>
  <c r="J105" i="3"/>
  <c r="J119" i="3"/>
  <c r="J112" i="3"/>
  <c r="J131" i="3"/>
  <c r="J137" i="3"/>
  <c r="J140" i="3"/>
  <c r="J138" i="3"/>
  <c r="J148" i="3"/>
  <c r="J153" i="3"/>
  <c r="J122" i="3"/>
  <c r="J129" i="3"/>
  <c r="J103" i="3"/>
  <c r="J142" i="3"/>
  <c r="J110" i="3"/>
  <c r="J117" i="3"/>
  <c r="J133" i="3"/>
  <c r="C135" i="1" l="1"/>
  <c r="C27" i="1"/>
  <c r="C103" i="1"/>
  <c r="C94" i="1"/>
  <c r="C36" i="1"/>
  <c r="C91" i="1"/>
  <c r="C29" i="1"/>
  <c r="C47" i="1"/>
  <c r="C147" i="1"/>
  <c r="C137" i="1"/>
  <c r="C64" i="1"/>
  <c r="C140" i="1"/>
  <c r="C34" i="1"/>
  <c r="C130" i="1"/>
  <c r="C154" i="1"/>
  <c r="C73" i="1"/>
  <c r="C148" i="1"/>
  <c r="C77" i="1"/>
  <c r="C32" i="1"/>
  <c r="C84" i="1"/>
  <c r="C129" i="1"/>
  <c r="C120" i="1"/>
  <c r="C119" i="1"/>
  <c r="C88" i="1"/>
  <c r="C62" i="1"/>
  <c r="C30" i="1"/>
  <c r="C54" i="1"/>
  <c r="C116" i="1"/>
  <c r="C50" i="1"/>
  <c r="C139" i="1"/>
  <c r="C60" i="1"/>
  <c r="C85" i="1"/>
  <c r="C122" i="1"/>
  <c r="C48" i="1"/>
  <c r="C57" i="1"/>
  <c r="C68" i="1"/>
  <c r="C144" i="1"/>
  <c r="C151" i="1"/>
  <c r="C80" i="1"/>
  <c r="C70" i="1"/>
  <c r="C145" i="1"/>
  <c r="C100" i="1"/>
  <c r="C58" i="1"/>
  <c r="C41" i="1"/>
  <c r="C67" i="1"/>
  <c r="C74" i="1"/>
  <c r="C128" i="1"/>
  <c r="C63" i="1"/>
  <c r="C61" i="1"/>
  <c r="C124" i="1"/>
  <c r="C46" i="1"/>
  <c r="C125" i="1"/>
  <c r="C28" i="1"/>
  <c r="C132" i="1"/>
  <c r="C76" i="1"/>
  <c r="C44" i="1"/>
  <c r="C155" i="1"/>
  <c r="C99" i="1"/>
  <c r="C138" i="1"/>
  <c r="C71" i="1"/>
  <c r="C107" i="1"/>
  <c r="C40" i="1"/>
  <c r="C142" i="1"/>
  <c r="C55" i="1"/>
  <c r="C45" i="1"/>
  <c r="C104" i="1"/>
  <c r="C78" i="1"/>
  <c r="C150" i="1"/>
  <c r="C38" i="1"/>
  <c r="C37" i="1"/>
  <c r="C115" i="1"/>
  <c r="C141" i="1"/>
  <c r="C111" i="1"/>
  <c r="C79" i="1"/>
  <c r="C39" i="1"/>
  <c r="C156" i="1"/>
  <c r="C121" i="1"/>
  <c r="C106" i="1"/>
  <c r="C136" i="1"/>
  <c r="C131" i="1"/>
  <c r="C152" i="1"/>
  <c r="C97" i="1"/>
  <c r="C89" i="1"/>
  <c r="C108" i="1"/>
  <c r="C65" i="1"/>
  <c r="C134" i="1"/>
  <c r="C90" i="1"/>
  <c r="C86" i="1"/>
  <c r="C110" i="1"/>
  <c r="C51" i="1"/>
  <c r="C72" i="1"/>
  <c r="C35" i="1"/>
  <c r="C83" i="1"/>
  <c r="C96" i="1"/>
  <c r="C82" i="1"/>
  <c r="C33" i="1"/>
  <c r="C133" i="1"/>
  <c r="C127" i="1"/>
  <c r="C143" i="1"/>
  <c r="C92" i="1"/>
  <c r="C126" i="1"/>
  <c r="C105" i="1"/>
  <c r="C113" i="1"/>
  <c r="C66" i="1"/>
  <c r="C42" i="1"/>
  <c r="C53" i="1"/>
  <c r="C153" i="1"/>
  <c r="C95" i="1"/>
  <c r="C146" i="1"/>
  <c r="C117" i="1"/>
  <c r="C26" i="1"/>
  <c r="C112" i="1"/>
  <c r="C81" i="1"/>
  <c r="C87" i="1"/>
  <c r="C93" i="1"/>
  <c r="C118" i="1"/>
  <c r="C75" i="1"/>
  <c r="C56" i="1"/>
  <c r="C69" i="1"/>
  <c r="C43" i="1"/>
  <c r="C31" i="1"/>
  <c r="C109" i="1"/>
  <c r="C102" i="1"/>
  <c r="C98" i="1"/>
  <c r="C101" i="1"/>
  <c r="C52" i="1"/>
  <c r="C49" i="1"/>
  <c r="C59" i="1"/>
  <c r="C123" i="1"/>
  <c r="C114" i="1"/>
  <c r="C149" i="1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D33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49" i="13"/>
  <c r="C48" i="13"/>
  <c r="C47" i="13"/>
  <c r="C46" i="13"/>
  <c r="C45" i="13"/>
  <c r="C44" i="13"/>
  <c r="C43" i="13"/>
  <c r="C42" i="13"/>
  <c r="C41" i="13"/>
  <c r="C40" i="13"/>
  <c r="C39" i="13"/>
  <c r="D38" i="13"/>
  <c r="C38" i="13"/>
  <c r="D37" i="13"/>
  <c r="C37" i="13"/>
  <c r="D36" i="13"/>
  <c r="C36" i="13"/>
  <c r="C35" i="13"/>
  <c r="C34" i="13"/>
  <c r="D33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E10" i="13"/>
  <c r="D10" i="13"/>
  <c r="C10" i="13"/>
  <c r="C9" i="13"/>
  <c r="C8" i="13"/>
  <c r="C7" i="13"/>
  <c r="C6" i="13"/>
  <c r="C5" i="13"/>
  <c r="C4" i="13"/>
  <c r="C3" i="13"/>
  <c r="C2" i="13"/>
  <c r="C56" i="12"/>
  <c r="C55" i="12"/>
  <c r="C54" i="12"/>
  <c r="D53" i="12"/>
  <c r="C53" i="12"/>
  <c r="C52" i="12"/>
  <c r="C51" i="12"/>
  <c r="C50" i="12"/>
  <c r="C49" i="12"/>
  <c r="C48" i="12"/>
  <c r="C47" i="12"/>
  <c r="D46" i="12"/>
  <c r="C46" i="12"/>
  <c r="C45" i="12"/>
  <c r="D44" i="12"/>
  <c r="C44" i="12"/>
  <c r="D43" i="12"/>
  <c r="C43" i="12"/>
  <c r="D42" i="12"/>
  <c r="C42" i="12"/>
  <c r="C41" i="12"/>
  <c r="C40" i="12"/>
  <c r="C39" i="12"/>
  <c r="D38" i="12"/>
  <c r="C38" i="12"/>
  <c r="C37" i="12"/>
  <c r="D36" i="12"/>
  <c r="C36" i="12"/>
  <c r="C35" i="12"/>
  <c r="D34" i="12"/>
  <c r="C34" i="12"/>
  <c r="D33" i="12"/>
  <c r="C33" i="12"/>
  <c r="C32" i="12"/>
  <c r="C31" i="12"/>
  <c r="C30" i="12"/>
  <c r="C29" i="12"/>
  <c r="D28" i="12"/>
  <c r="C28" i="12"/>
  <c r="C27" i="12"/>
  <c r="C26" i="12"/>
  <c r="D25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D13" i="12"/>
  <c r="C13" i="12"/>
  <c r="C12" i="12"/>
  <c r="C11" i="12"/>
  <c r="C10" i="12"/>
  <c r="C9" i="12"/>
  <c r="D8" i="12"/>
  <c r="C8" i="12"/>
  <c r="C7" i="12"/>
  <c r="C6" i="12"/>
  <c r="C5" i="12"/>
  <c r="C4" i="12"/>
  <c r="C3" i="12"/>
  <c r="C2" i="12"/>
  <c r="F156" i="4"/>
  <c r="E156" i="4"/>
  <c r="L156" i="4" s="1"/>
  <c r="D156" i="4"/>
  <c r="F155" i="4"/>
  <c r="E155" i="4"/>
  <c r="L155" i="4" s="1"/>
  <c r="D155" i="4"/>
  <c r="I155" i="4" s="1"/>
  <c r="J155" i="4" s="1"/>
  <c r="M155" i="4" s="1"/>
  <c r="F154" i="4"/>
  <c r="E154" i="4"/>
  <c r="L154" i="4" s="1"/>
  <c r="D154" i="4"/>
  <c r="F153" i="4"/>
  <c r="E153" i="4"/>
  <c r="L153" i="4" s="1"/>
  <c r="D153" i="4"/>
  <c r="F152" i="4"/>
  <c r="E152" i="4"/>
  <c r="L152" i="4" s="1"/>
  <c r="D152" i="4"/>
  <c r="F151" i="4"/>
  <c r="E151" i="4"/>
  <c r="L151" i="4" s="1"/>
  <c r="D151" i="4"/>
  <c r="I151" i="4" s="1"/>
  <c r="J151" i="4" s="1"/>
  <c r="M151" i="4" s="1"/>
  <c r="F148" i="4"/>
  <c r="E148" i="4"/>
  <c r="L148" i="4" s="1"/>
  <c r="D148" i="4"/>
  <c r="F147" i="4"/>
  <c r="E147" i="4"/>
  <c r="L147" i="4" s="1"/>
  <c r="D147" i="4"/>
  <c r="F146" i="4"/>
  <c r="E146" i="4"/>
  <c r="L146" i="4" s="1"/>
  <c r="D146" i="4"/>
  <c r="F145" i="4"/>
  <c r="E145" i="4"/>
  <c r="L145" i="4" s="1"/>
  <c r="D145" i="4"/>
  <c r="I145" i="4" s="1"/>
  <c r="J145" i="4" s="1"/>
  <c r="M145" i="4" s="1"/>
  <c r="F144" i="4"/>
  <c r="E144" i="4"/>
  <c r="L144" i="4" s="1"/>
  <c r="D144" i="4"/>
  <c r="F142" i="4"/>
  <c r="E142" i="4"/>
  <c r="L142" i="4" s="1"/>
  <c r="D142" i="4"/>
  <c r="F141" i="4"/>
  <c r="E141" i="4"/>
  <c r="L141" i="4" s="1"/>
  <c r="D141" i="4"/>
  <c r="F140" i="4"/>
  <c r="E140" i="4"/>
  <c r="L140" i="4" s="1"/>
  <c r="D140" i="4"/>
  <c r="I140" i="4" s="1"/>
  <c r="J140" i="4" s="1"/>
  <c r="F139" i="4"/>
  <c r="E139" i="4"/>
  <c r="L139" i="4" s="1"/>
  <c r="D139" i="4"/>
  <c r="F138" i="4"/>
  <c r="E138" i="4"/>
  <c r="L138" i="4" s="1"/>
  <c r="D138" i="4"/>
  <c r="F137" i="4"/>
  <c r="E137" i="4"/>
  <c r="L137" i="4" s="1"/>
  <c r="D137" i="4"/>
  <c r="F136" i="4"/>
  <c r="E136" i="4"/>
  <c r="L136" i="4" s="1"/>
  <c r="D136" i="4"/>
  <c r="I136" i="4" s="1"/>
  <c r="J136" i="4" s="1"/>
  <c r="M136" i="4" s="1"/>
  <c r="F135" i="4"/>
  <c r="E135" i="4"/>
  <c r="L135" i="4" s="1"/>
  <c r="D135" i="4"/>
  <c r="F134" i="4"/>
  <c r="E134" i="4"/>
  <c r="L134" i="4" s="1"/>
  <c r="D134" i="4"/>
  <c r="F133" i="4"/>
  <c r="E133" i="4"/>
  <c r="L133" i="4" s="1"/>
  <c r="D133" i="4"/>
  <c r="F132" i="4"/>
  <c r="E132" i="4"/>
  <c r="L132" i="4" s="1"/>
  <c r="D132" i="4"/>
  <c r="I132" i="4" s="1"/>
  <c r="J132" i="4" s="1"/>
  <c r="F130" i="4"/>
  <c r="E130" i="4"/>
  <c r="L130" i="4" s="1"/>
  <c r="D130" i="4"/>
  <c r="F129" i="4"/>
  <c r="E129" i="4"/>
  <c r="L129" i="4" s="1"/>
  <c r="D129" i="4"/>
  <c r="F128" i="4"/>
  <c r="E128" i="4"/>
  <c r="L128" i="4" s="1"/>
  <c r="D128" i="4"/>
  <c r="F127" i="4"/>
  <c r="E127" i="4"/>
  <c r="L127" i="4" s="1"/>
  <c r="D127" i="4"/>
  <c r="I127" i="4" s="1"/>
  <c r="J127" i="4" s="1"/>
  <c r="M127" i="4" s="1"/>
  <c r="F126" i="4"/>
  <c r="E126" i="4"/>
  <c r="L126" i="4" s="1"/>
  <c r="D126" i="4"/>
  <c r="F125" i="4"/>
  <c r="E125" i="4"/>
  <c r="L125" i="4" s="1"/>
  <c r="D125" i="4"/>
  <c r="F124" i="4"/>
  <c r="E124" i="4"/>
  <c r="L124" i="4" s="1"/>
  <c r="D124" i="4"/>
  <c r="F123" i="4"/>
  <c r="E123" i="4"/>
  <c r="L123" i="4" s="1"/>
  <c r="D123" i="4"/>
  <c r="I123" i="4" s="1"/>
  <c r="J123" i="4" s="1"/>
  <c r="M123" i="4" s="1"/>
  <c r="F122" i="4"/>
  <c r="E122" i="4"/>
  <c r="L122" i="4" s="1"/>
  <c r="D122" i="4"/>
  <c r="F120" i="4"/>
  <c r="E120" i="4"/>
  <c r="L120" i="4" s="1"/>
  <c r="D120" i="4"/>
  <c r="F118" i="4"/>
  <c r="E118" i="4"/>
  <c r="L118" i="4" s="1"/>
  <c r="D118" i="4"/>
  <c r="F117" i="4"/>
  <c r="E117" i="4"/>
  <c r="L117" i="4" s="1"/>
  <c r="D117" i="4"/>
  <c r="I117" i="4" s="1"/>
  <c r="J117" i="4" s="1"/>
  <c r="M117" i="4" s="1"/>
  <c r="F116" i="4"/>
  <c r="E116" i="4"/>
  <c r="L116" i="4" s="1"/>
  <c r="D116" i="4"/>
  <c r="F115" i="4"/>
  <c r="E115" i="4"/>
  <c r="L115" i="4" s="1"/>
  <c r="D115" i="4"/>
  <c r="F114" i="4"/>
  <c r="E114" i="4"/>
  <c r="L114" i="4" s="1"/>
  <c r="D114" i="4"/>
  <c r="F106" i="4"/>
  <c r="E106" i="4"/>
  <c r="L106" i="4" s="1"/>
  <c r="D106" i="4"/>
  <c r="I106" i="4" s="1"/>
  <c r="J106" i="4" s="1"/>
  <c r="M106" i="4" s="1"/>
  <c r="F105" i="4"/>
  <c r="E105" i="4"/>
  <c r="L105" i="4" s="1"/>
  <c r="D105" i="4"/>
  <c r="F104" i="4"/>
  <c r="E104" i="4"/>
  <c r="L104" i="4" s="1"/>
  <c r="D104" i="4"/>
  <c r="F101" i="4"/>
  <c r="E101" i="4"/>
  <c r="L101" i="4" s="1"/>
  <c r="D101" i="4"/>
  <c r="F100" i="4"/>
  <c r="E100" i="4"/>
  <c r="L100" i="4" s="1"/>
  <c r="D100" i="4"/>
  <c r="I100" i="4" s="1"/>
  <c r="J100" i="4" s="1"/>
  <c r="M100" i="4" s="1"/>
  <c r="F98" i="4"/>
  <c r="E98" i="4"/>
  <c r="L98" i="4" s="1"/>
  <c r="D98" i="4"/>
  <c r="F95" i="4"/>
  <c r="E95" i="4"/>
  <c r="L95" i="4" s="1"/>
  <c r="D95" i="4"/>
  <c r="F94" i="4"/>
  <c r="E94" i="4"/>
  <c r="L94" i="4" s="1"/>
  <c r="D94" i="4"/>
  <c r="F93" i="4"/>
  <c r="E93" i="4"/>
  <c r="L93" i="4" s="1"/>
  <c r="D93" i="4"/>
  <c r="I93" i="4" s="1"/>
  <c r="J93" i="4" s="1"/>
  <c r="M93" i="4" s="1"/>
  <c r="F91" i="4"/>
  <c r="E91" i="4"/>
  <c r="L91" i="4" s="1"/>
  <c r="D91" i="4"/>
  <c r="F90" i="4"/>
  <c r="E90" i="4"/>
  <c r="L90" i="4" s="1"/>
  <c r="D90" i="4"/>
  <c r="F89" i="4"/>
  <c r="E89" i="4"/>
  <c r="L89" i="4" s="1"/>
  <c r="D89" i="4"/>
  <c r="F86" i="4"/>
  <c r="E86" i="4"/>
  <c r="L86" i="4" s="1"/>
  <c r="D86" i="4"/>
  <c r="I86" i="4" s="1"/>
  <c r="J86" i="4" s="1"/>
  <c r="M86" i="4" s="1"/>
  <c r="F85" i="4"/>
  <c r="E85" i="4"/>
  <c r="L85" i="4" s="1"/>
  <c r="D85" i="4"/>
  <c r="F84" i="4"/>
  <c r="E84" i="4"/>
  <c r="L84" i="4" s="1"/>
  <c r="D84" i="4"/>
  <c r="F83" i="4"/>
  <c r="E83" i="4"/>
  <c r="L83" i="4" s="1"/>
  <c r="D83" i="4"/>
  <c r="F82" i="4"/>
  <c r="E82" i="4"/>
  <c r="L82" i="4" s="1"/>
  <c r="D82" i="4"/>
  <c r="I82" i="4" s="1"/>
  <c r="J82" i="4" s="1"/>
  <c r="M82" i="4" s="1"/>
  <c r="F80" i="4"/>
  <c r="E80" i="4"/>
  <c r="L80" i="4" s="1"/>
  <c r="D80" i="4"/>
  <c r="F79" i="4"/>
  <c r="E79" i="4"/>
  <c r="L79" i="4" s="1"/>
  <c r="D79" i="4"/>
  <c r="F78" i="4"/>
  <c r="E78" i="4"/>
  <c r="L78" i="4" s="1"/>
  <c r="D78" i="4"/>
  <c r="F77" i="4"/>
  <c r="E77" i="4"/>
  <c r="L77" i="4" s="1"/>
  <c r="D77" i="4"/>
  <c r="I77" i="4" s="1"/>
  <c r="J77" i="4" s="1"/>
  <c r="M77" i="4" s="1"/>
  <c r="F76" i="4"/>
  <c r="E76" i="4"/>
  <c r="L76" i="4" s="1"/>
  <c r="D76" i="4"/>
  <c r="F75" i="4"/>
  <c r="E75" i="4"/>
  <c r="L75" i="4" s="1"/>
  <c r="D75" i="4"/>
  <c r="F74" i="4"/>
  <c r="E74" i="4"/>
  <c r="L74" i="4" s="1"/>
  <c r="D74" i="4"/>
  <c r="F72" i="4"/>
  <c r="E72" i="4"/>
  <c r="L72" i="4" s="1"/>
  <c r="D72" i="4"/>
  <c r="I72" i="4" s="1"/>
  <c r="J72" i="4" s="1"/>
  <c r="M72" i="4" s="1"/>
  <c r="F71" i="4"/>
  <c r="E71" i="4"/>
  <c r="L71" i="4" s="1"/>
  <c r="D71" i="4"/>
  <c r="F70" i="4"/>
  <c r="E70" i="4"/>
  <c r="L70" i="4" s="1"/>
  <c r="D70" i="4"/>
  <c r="F69" i="4"/>
  <c r="E69" i="4"/>
  <c r="L69" i="4" s="1"/>
  <c r="D69" i="4"/>
  <c r="F67" i="4"/>
  <c r="E67" i="4"/>
  <c r="L67" i="4" s="1"/>
  <c r="D67" i="4"/>
  <c r="I67" i="4" s="1"/>
  <c r="J67" i="4" s="1"/>
  <c r="M67" i="4" s="1"/>
  <c r="F66" i="4"/>
  <c r="E66" i="4"/>
  <c r="L66" i="4" s="1"/>
  <c r="D66" i="4"/>
  <c r="F65" i="4"/>
  <c r="E65" i="4"/>
  <c r="L65" i="4" s="1"/>
  <c r="D65" i="4"/>
  <c r="F64" i="4"/>
  <c r="E64" i="4"/>
  <c r="L64" i="4" s="1"/>
  <c r="D64" i="4"/>
  <c r="F63" i="4"/>
  <c r="E63" i="4"/>
  <c r="L63" i="4" s="1"/>
  <c r="D63" i="4"/>
  <c r="I63" i="4" s="1"/>
  <c r="J63" i="4" s="1"/>
  <c r="M63" i="4" s="1"/>
  <c r="F62" i="4"/>
  <c r="E62" i="4"/>
  <c r="L62" i="4" s="1"/>
  <c r="D62" i="4"/>
  <c r="F61" i="4"/>
  <c r="E61" i="4"/>
  <c r="L61" i="4" s="1"/>
  <c r="D61" i="4"/>
  <c r="F58" i="4"/>
  <c r="E58" i="4"/>
  <c r="L58" i="4" s="1"/>
  <c r="D58" i="4"/>
  <c r="F56" i="4"/>
  <c r="E56" i="4"/>
  <c r="L56" i="4" s="1"/>
  <c r="D56" i="4"/>
  <c r="I56" i="4" s="1"/>
  <c r="J56" i="4" s="1"/>
  <c r="M56" i="4" s="1"/>
  <c r="F55" i="4"/>
  <c r="E55" i="4"/>
  <c r="L55" i="4" s="1"/>
  <c r="D55" i="4"/>
  <c r="F53" i="4"/>
  <c r="E53" i="4"/>
  <c r="L53" i="4" s="1"/>
  <c r="D53" i="4"/>
  <c r="F52" i="4"/>
  <c r="E52" i="4"/>
  <c r="L52" i="4" s="1"/>
  <c r="D52" i="4"/>
  <c r="F51" i="4"/>
  <c r="E51" i="4"/>
  <c r="L51" i="4" s="1"/>
  <c r="D51" i="4"/>
  <c r="I51" i="4" s="1"/>
  <c r="J51" i="4" s="1"/>
  <c r="M51" i="4" s="1"/>
  <c r="F49" i="4"/>
  <c r="E49" i="4"/>
  <c r="L49" i="4" s="1"/>
  <c r="D49" i="4"/>
  <c r="F48" i="4"/>
  <c r="E48" i="4"/>
  <c r="L48" i="4" s="1"/>
  <c r="D48" i="4"/>
  <c r="F47" i="4"/>
  <c r="E47" i="4"/>
  <c r="L47" i="4" s="1"/>
  <c r="D47" i="4"/>
  <c r="F46" i="4"/>
  <c r="E46" i="4"/>
  <c r="L46" i="4" s="1"/>
  <c r="D46" i="4"/>
  <c r="I46" i="4" s="1"/>
  <c r="J46" i="4" s="1"/>
  <c r="M46" i="4" s="1"/>
  <c r="F45" i="4"/>
  <c r="E45" i="4"/>
  <c r="L45" i="4" s="1"/>
  <c r="D45" i="4"/>
  <c r="F44" i="4"/>
  <c r="E44" i="4"/>
  <c r="L44" i="4" s="1"/>
  <c r="D44" i="4"/>
  <c r="F42" i="4"/>
  <c r="E42" i="4"/>
  <c r="L42" i="4" s="1"/>
  <c r="D42" i="4"/>
  <c r="F41" i="4"/>
  <c r="E41" i="4"/>
  <c r="L41" i="4" s="1"/>
  <c r="D41" i="4"/>
  <c r="I41" i="4" s="1"/>
  <c r="J41" i="4" s="1"/>
  <c r="M41" i="4" s="1"/>
  <c r="F39" i="4"/>
  <c r="E39" i="4"/>
  <c r="L39" i="4" s="1"/>
  <c r="D39" i="4"/>
  <c r="F38" i="4"/>
  <c r="E38" i="4"/>
  <c r="L38" i="4" s="1"/>
  <c r="D38" i="4"/>
  <c r="F36" i="4"/>
  <c r="E36" i="4"/>
  <c r="L36" i="4" s="1"/>
  <c r="D36" i="4"/>
  <c r="F34" i="4"/>
  <c r="E34" i="4"/>
  <c r="L34" i="4" s="1"/>
  <c r="D34" i="4"/>
  <c r="I34" i="4" s="1"/>
  <c r="J34" i="4" s="1"/>
  <c r="M34" i="4" s="1"/>
  <c r="F33" i="4"/>
  <c r="E33" i="4"/>
  <c r="L33" i="4" s="1"/>
  <c r="D33" i="4"/>
  <c r="F32" i="4"/>
  <c r="E32" i="4"/>
  <c r="L32" i="4" s="1"/>
  <c r="D32" i="4"/>
  <c r="F31" i="4"/>
  <c r="E31" i="4"/>
  <c r="L31" i="4" s="1"/>
  <c r="D31" i="4"/>
  <c r="F30" i="4"/>
  <c r="E30" i="4"/>
  <c r="L30" i="4" s="1"/>
  <c r="D30" i="4"/>
  <c r="I30" i="4" s="1"/>
  <c r="J30" i="4" s="1"/>
  <c r="M30" i="4" s="1"/>
  <c r="F29" i="4"/>
  <c r="E29" i="4"/>
  <c r="L29" i="4" s="1"/>
  <c r="D29" i="4"/>
  <c r="F28" i="4"/>
  <c r="E28" i="4"/>
  <c r="L28" i="4" s="1"/>
  <c r="D28" i="4"/>
  <c r="F27" i="4"/>
  <c r="E27" i="4"/>
  <c r="L27" i="4" s="1"/>
  <c r="D27" i="4"/>
  <c r="F25" i="4"/>
  <c r="E25" i="4"/>
  <c r="L25" i="4" s="1"/>
  <c r="D25" i="4"/>
  <c r="I25" i="4" s="1"/>
  <c r="J25" i="4" s="1"/>
  <c r="M25" i="4" s="1"/>
  <c r="F24" i="4"/>
  <c r="E24" i="4"/>
  <c r="L24" i="4" s="1"/>
  <c r="D24" i="4"/>
  <c r="F20" i="4"/>
  <c r="E20" i="4"/>
  <c r="L20" i="4" s="1"/>
  <c r="D20" i="4"/>
  <c r="F18" i="4"/>
  <c r="E18" i="4"/>
  <c r="L18" i="4" s="1"/>
  <c r="D18" i="4"/>
  <c r="F16" i="4"/>
  <c r="E16" i="4"/>
  <c r="L16" i="4" s="1"/>
  <c r="D16" i="4"/>
  <c r="I16" i="4" s="1"/>
  <c r="J16" i="4" s="1"/>
  <c r="M16" i="4" s="1"/>
  <c r="F15" i="4"/>
  <c r="E15" i="4"/>
  <c r="L15" i="4" s="1"/>
  <c r="D15" i="4"/>
  <c r="F14" i="4"/>
  <c r="E14" i="4"/>
  <c r="L14" i="4" s="1"/>
  <c r="D14" i="4"/>
  <c r="F13" i="4"/>
  <c r="E13" i="4"/>
  <c r="L13" i="4" s="1"/>
  <c r="D13" i="4"/>
  <c r="F12" i="4"/>
  <c r="E12" i="4"/>
  <c r="L12" i="4" s="1"/>
  <c r="D12" i="4"/>
  <c r="I12" i="4" s="1"/>
  <c r="J12" i="4" s="1"/>
  <c r="M12" i="4" s="1"/>
  <c r="F11" i="4"/>
  <c r="E11" i="4"/>
  <c r="L11" i="4" s="1"/>
  <c r="D11" i="4"/>
  <c r="F8" i="4"/>
  <c r="E8" i="4"/>
  <c r="L8" i="4" s="1"/>
  <c r="D8" i="4"/>
  <c r="F7" i="4"/>
  <c r="E7" i="4"/>
  <c r="L7" i="4" s="1"/>
  <c r="D7" i="4"/>
  <c r="F6" i="4"/>
  <c r="E6" i="4"/>
  <c r="L6" i="4" s="1"/>
  <c r="D6" i="4"/>
  <c r="I6" i="4" s="1"/>
  <c r="J6" i="4" s="1"/>
  <c r="M6" i="4" s="1"/>
  <c r="F3" i="4"/>
  <c r="E3" i="4"/>
  <c r="L3" i="4" s="1"/>
  <c r="D3" i="4"/>
  <c r="F2" i="4"/>
  <c r="E2" i="4"/>
  <c r="L2" i="4" s="1"/>
  <c r="D2" i="4"/>
  <c r="C155" i="3"/>
  <c r="E155" i="3" s="1"/>
  <c r="G155" i="3" s="1"/>
  <c r="C154" i="3"/>
  <c r="E154" i="3" s="1"/>
  <c r="G154" i="3" s="1"/>
  <c r="C153" i="3"/>
  <c r="E153" i="3" s="1"/>
  <c r="G153" i="3" s="1"/>
  <c r="C152" i="3"/>
  <c r="E152" i="3" s="1"/>
  <c r="G152" i="3" s="1"/>
  <c r="C151" i="3"/>
  <c r="E151" i="3" s="1"/>
  <c r="G151" i="3" s="1"/>
  <c r="C150" i="3"/>
  <c r="E150" i="3" s="1"/>
  <c r="G150" i="3" s="1"/>
  <c r="C149" i="3"/>
  <c r="E149" i="3" s="1"/>
  <c r="G149" i="3" s="1"/>
  <c r="C148" i="3"/>
  <c r="E148" i="3" s="1"/>
  <c r="G148" i="3" s="1"/>
  <c r="C147" i="3"/>
  <c r="E147" i="3" s="1"/>
  <c r="G147" i="3" s="1"/>
  <c r="C146" i="3"/>
  <c r="E146" i="3" s="1"/>
  <c r="G146" i="3" s="1"/>
  <c r="C145" i="3"/>
  <c r="E145" i="3" s="1"/>
  <c r="G145" i="3" s="1"/>
  <c r="C144" i="3"/>
  <c r="E144" i="3" s="1"/>
  <c r="G144" i="3" s="1"/>
  <c r="C143" i="3"/>
  <c r="E143" i="3" s="1"/>
  <c r="G143" i="3" s="1"/>
  <c r="C142" i="3"/>
  <c r="E142" i="3" s="1"/>
  <c r="G142" i="3" s="1"/>
  <c r="C141" i="3"/>
  <c r="E141" i="3" s="1"/>
  <c r="G141" i="3" s="1"/>
  <c r="C140" i="3"/>
  <c r="E140" i="3" s="1"/>
  <c r="G140" i="3" s="1"/>
  <c r="C139" i="3"/>
  <c r="E139" i="3" s="1"/>
  <c r="G139" i="3" s="1"/>
  <c r="C138" i="3"/>
  <c r="E138" i="3" s="1"/>
  <c r="G138" i="3" s="1"/>
  <c r="C137" i="3"/>
  <c r="E137" i="3" s="1"/>
  <c r="G137" i="3" s="1"/>
  <c r="C136" i="3"/>
  <c r="E136" i="3" s="1"/>
  <c r="G136" i="3" s="1"/>
  <c r="C135" i="3"/>
  <c r="E135" i="3" s="1"/>
  <c r="G135" i="3" s="1"/>
  <c r="C134" i="3"/>
  <c r="E134" i="3" s="1"/>
  <c r="G134" i="3" s="1"/>
  <c r="C133" i="3"/>
  <c r="E133" i="3" s="1"/>
  <c r="G133" i="3" s="1"/>
  <c r="C132" i="3"/>
  <c r="E132" i="3" s="1"/>
  <c r="G132" i="3" s="1"/>
  <c r="C131" i="3"/>
  <c r="E131" i="3" s="1"/>
  <c r="G131" i="3" s="1"/>
  <c r="C130" i="3"/>
  <c r="E130" i="3" s="1"/>
  <c r="G130" i="3" s="1"/>
  <c r="C129" i="3"/>
  <c r="E129" i="3" s="1"/>
  <c r="G129" i="3" s="1"/>
  <c r="C128" i="3"/>
  <c r="E128" i="3" s="1"/>
  <c r="G128" i="3" s="1"/>
  <c r="C127" i="3"/>
  <c r="E127" i="3" s="1"/>
  <c r="G127" i="3" s="1"/>
  <c r="C126" i="3"/>
  <c r="E126" i="3" s="1"/>
  <c r="G126" i="3" s="1"/>
  <c r="C125" i="3"/>
  <c r="E125" i="3" s="1"/>
  <c r="G125" i="3" s="1"/>
  <c r="C124" i="3"/>
  <c r="E124" i="3" s="1"/>
  <c r="G124" i="3" s="1"/>
  <c r="C123" i="3"/>
  <c r="E123" i="3" s="1"/>
  <c r="G123" i="3" s="1"/>
  <c r="C122" i="3"/>
  <c r="E122" i="3" s="1"/>
  <c r="G122" i="3" s="1"/>
  <c r="C121" i="3"/>
  <c r="E121" i="3" s="1"/>
  <c r="G121" i="3" s="1"/>
  <c r="C120" i="3"/>
  <c r="E120" i="3" s="1"/>
  <c r="G120" i="3" s="1"/>
  <c r="C119" i="3"/>
  <c r="E119" i="3" s="1"/>
  <c r="G119" i="3" s="1"/>
  <c r="C118" i="3"/>
  <c r="E118" i="3" s="1"/>
  <c r="G118" i="3" s="1"/>
  <c r="C117" i="3"/>
  <c r="E117" i="3" s="1"/>
  <c r="G117" i="3" s="1"/>
  <c r="C116" i="3"/>
  <c r="E116" i="3" s="1"/>
  <c r="G116" i="3" s="1"/>
  <c r="C115" i="3"/>
  <c r="E115" i="3" s="1"/>
  <c r="G115" i="3" s="1"/>
  <c r="C114" i="3"/>
  <c r="E114" i="3" s="1"/>
  <c r="G114" i="3" s="1"/>
  <c r="C113" i="3"/>
  <c r="E113" i="3" s="1"/>
  <c r="G113" i="3" s="1"/>
  <c r="C112" i="3"/>
  <c r="E112" i="3" s="1"/>
  <c r="G112" i="3" s="1"/>
  <c r="C111" i="3"/>
  <c r="E111" i="3" s="1"/>
  <c r="G111" i="3" s="1"/>
  <c r="C110" i="3"/>
  <c r="E110" i="3" s="1"/>
  <c r="G110" i="3" s="1"/>
  <c r="C109" i="3"/>
  <c r="E109" i="3" s="1"/>
  <c r="G109" i="3" s="1"/>
  <c r="C108" i="3"/>
  <c r="E108" i="3" s="1"/>
  <c r="G108" i="3" s="1"/>
  <c r="C107" i="3"/>
  <c r="E107" i="3" s="1"/>
  <c r="G107" i="3" s="1"/>
  <c r="C106" i="3"/>
  <c r="E106" i="3" s="1"/>
  <c r="G106" i="3" s="1"/>
  <c r="C105" i="3"/>
  <c r="E105" i="3" s="1"/>
  <c r="G105" i="3" s="1"/>
  <c r="C104" i="3"/>
  <c r="E104" i="3" s="1"/>
  <c r="G104" i="3" s="1"/>
  <c r="C103" i="3"/>
  <c r="E103" i="3" s="1"/>
  <c r="G103" i="3" s="1"/>
  <c r="C102" i="3"/>
  <c r="E102" i="3" s="1"/>
  <c r="G102" i="3" s="1"/>
  <c r="C101" i="3"/>
  <c r="E101" i="3" s="1"/>
  <c r="G101" i="3" s="1"/>
  <c r="C100" i="3"/>
  <c r="E100" i="3" s="1"/>
  <c r="G100" i="3" s="1"/>
  <c r="C99" i="3"/>
  <c r="E99" i="3" s="1"/>
  <c r="G99" i="3" s="1"/>
  <c r="C98" i="3"/>
  <c r="E98" i="3" s="1"/>
  <c r="G98" i="3" s="1"/>
  <c r="C97" i="3"/>
  <c r="E97" i="3" s="1"/>
  <c r="G97" i="3" s="1"/>
  <c r="C96" i="3"/>
  <c r="E96" i="3" s="1"/>
  <c r="G96" i="3" s="1"/>
  <c r="C95" i="3"/>
  <c r="E95" i="3" s="1"/>
  <c r="G95" i="3" s="1"/>
  <c r="C94" i="3"/>
  <c r="E94" i="3" s="1"/>
  <c r="G94" i="3" s="1"/>
  <c r="C93" i="3"/>
  <c r="E93" i="3" s="1"/>
  <c r="G93" i="3" s="1"/>
  <c r="C92" i="3"/>
  <c r="E92" i="3" s="1"/>
  <c r="G92" i="3" s="1"/>
  <c r="C91" i="3"/>
  <c r="E91" i="3" s="1"/>
  <c r="G91" i="3" s="1"/>
  <c r="C90" i="3"/>
  <c r="E90" i="3" s="1"/>
  <c r="G90" i="3" s="1"/>
  <c r="C89" i="3"/>
  <c r="E89" i="3" s="1"/>
  <c r="G89" i="3" s="1"/>
  <c r="C88" i="3"/>
  <c r="E88" i="3" s="1"/>
  <c r="G88" i="3" s="1"/>
  <c r="C87" i="3"/>
  <c r="E87" i="3" s="1"/>
  <c r="G87" i="3" s="1"/>
  <c r="C86" i="3"/>
  <c r="E86" i="3" s="1"/>
  <c r="G86" i="3" s="1"/>
  <c r="C85" i="3"/>
  <c r="E85" i="3" s="1"/>
  <c r="G85" i="3" s="1"/>
  <c r="C84" i="3"/>
  <c r="E84" i="3" s="1"/>
  <c r="G84" i="3" s="1"/>
  <c r="C83" i="3"/>
  <c r="E83" i="3" s="1"/>
  <c r="G83" i="3" s="1"/>
  <c r="C82" i="3"/>
  <c r="E82" i="3" s="1"/>
  <c r="G82" i="3" s="1"/>
  <c r="C81" i="3"/>
  <c r="E81" i="3" s="1"/>
  <c r="G81" i="3" s="1"/>
  <c r="C80" i="3"/>
  <c r="E80" i="3" s="1"/>
  <c r="G80" i="3" s="1"/>
  <c r="C79" i="3"/>
  <c r="E79" i="3" s="1"/>
  <c r="G79" i="3" s="1"/>
  <c r="C78" i="3"/>
  <c r="E78" i="3" s="1"/>
  <c r="G78" i="3" s="1"/>
  <c r="C77" i="3"/>
  <c r="E77" i="3" s="1"/>
  <c r="G77" i="3" s="1"/>
  <c r="C76" i="3"/>
  <c r="E76" i="3" s="1"/>
  <c r="G76" i="3" s="1"/>
  <c r="C75" i="3"/>
  <c r="E75" i="3" s="1"/>
  <c r="G75" i="3" s="1"/>
  <c r="C74" i="3"/>
  <c r="E74" i="3" s="1"/>
  <c r="G74" i="3" s="1"/>
  <c r="C73" i="3"/>
  <c r="E73" i="3" s="1"/>
  <c r="G73" i="3" s="1"/>
  <c r="C72" i="3"/>
  <c r="E72" i="3" s="1"/>
  <c r="G72" i="3" s="1"/>
  <c r="C71" i="3"/>
  <c r="E71" i="3" s="1"/>
  <c r="G71" i="3" s="1"/>
  <c r="C70" i="3"/>
  <c r="E70" i="3" s="1"/>
  <c r="G70" i="3" s="1"/>
  <c r="C69" i="3"/>
  <c r="E69" i="3" s="1"/>
  <c r="G69" i="3" s="1"/>
  <c r="C68" i="3"/>
  <c r="E68" i="3" s="1"/>
  <c r="G68" i="3" s="1"/>
  <c r="C67" i="3"/>
  <c r="E67" i="3" s="1"/>
  <c r="G67" i="3" s="1"/>
  <c r="C66" i="3"/>
  <c r="E66" i="3" s="1"/>
  <c r="G66" i="3" s="1"/>
  <c r="C65" i="3"/>
  <c r="E65" i="3" s="1"/>
  <c r="G65" i="3" s="1"/>
  <c r="C64" i="3"/>
  <c r="E64" i="3" s="1"/>
  <c r="G64" i="3" s="1"/>
  <c r="C63" i="3"/>
  <c r="E63" i="3" s="1"/>
  <c r="G63" i="3" s="1"/>
  <c r="C62" i="3"/>
  <c r="E62" i="3" s="1"/>
  <c r="G62" i="3" s="1"/>
  <c r="C61" i="3"/>
  <c r="E61" i="3" s="1"/>
  <c r="G61" i="3" s="1"/>
  <c r="C60" i="3"/>
  <c r="E60" i="3" s="1"/>
  <c r="G60" i="3" s="1"/>
  <c r="C59" i="3"/>
  <c r="E59" i="3" s="1"/>
  <c r="G59" i="3" s="1"/>
  <c r="C58" i="3"/>
  <c r="E58" i="3" s="1"/>
  <c r="G58" i="3" s="1"/>
  <c r="C57" i="3"/>
  <c r="E57" i="3" s="1"/>
  <c r="G57" i="3" s="1"/>
  <c r="C56" i="3"/>
  <c r="E56" i="3" s="1"/>
  <c r="G56" i="3" s="1"/>
  <c r="C55" i="3"/>
  <c r="E55" i="3" s="1"/>
  <c r="G55" i="3" s="1"/>
  <c r="C54" i="3"/>
  <c r="E54" i="3" s="1"/>
  <c r="G54" i="3" s="1"/>
  <c r="C53" i="3"/>
  <c r="E53" i="3" s="1"/>
  <c r="G53" i="3" s="1"/>
  <c r="C52" i="3"/>
  <c r="E52" i="3" s="1"/>
  <c r="G52" i="3" s="1"/>
  <c r="C51" i="3"/>
  <c r="E51" i="3" s="1"/>
  <c r="G51" i="3" s="1"/>
  <c r="C50" i="3"/>
  <c r="E50" i="3" s="1"/>
  <c r="G50" i="3" s="1"/>
  <c r="C49" i="3"/>
  <c r="E49" i="3" s="1"/>
  <c r="G49" i="3" s="1"/>
  <c r="C48" i="3"/>
  <c r="E48" i="3" s="1"/>
  <c r="G48" i="3" s="1"/>
  <c r="C47" i="3"/>
  <c r="E47" i="3" s="1"/>
  <c r="G47" i="3" s="1"/>
  <c r="C46" i="3"/>
  <c r="E46" i="3" s="1"/>
  <c r="G46" i="3" s="1"/>
  <c r="C45" i="3"/>
  <c r="E45" i="3" s="1"/>
  <c r="G45" i="3" s="1"/>
  <c r="C44" i="3"/>
  <c r="E44" i="3" s="1"/>
  <c r="G44" i="3" s="1"/>
  <c r="C43" i="3"/>
  <c r="E43" i="3" s="1"/>
  <c r="G43" i="3" s="1"/>
  <c r="C42" i="3"/>
  <c r="E42" i="3" s="1"/>
  <c r="G42" i="3" s="1"/>
  <c r="C41" i="3"/>
  <c r="E41" i="3" s="1"/>
  <c r="G41" i="3" s="1"/>
  <c r="C40" i="3"/>
  <c r="E40" i="3" s="1"/>
  <c r="G40" i="3" s="1"/>
  <c r="C39" i="3"/>
  <c r="E39" i="3" s="1"/>
  <c r="G39" i="3" s="1"/>
  <c r="C38" i="3"/>
  <c r="E38" i="3" s="1"/>
  <c r="G38" i="3" s="1"/>
  <c r="C37" i="3"/>
  <c r="E37" i="3" s="1"/>
  <c r="G37" i="3" s="1"/>
  <c r="C36" i="3"/>
  <c r="E36" i="3" s="1"/>
  <c r="G36" i="3" s="1"/>
  <c r="C35" i="3"/>
  <c r="E35" i="3" s="1"/>
  <c r="G35" i="3" s="1"/>
  <c r="C34" i="3"/>
  <c r="E34" i="3" s="1"/>
  <c r="G34" i="3" s="1"/>
  <c r="C33" i="3"/>
  <c r="E33" i="3" s="1"/>
  <c r="G33" i="3" s="1"/>
  <c r="C32" i="3"/>
  <c r="E32" i="3" s="1"/>
  <c r="G32" i="3" s="1"/>
  <c r="C31" i="3"/>
  <c r="E31" i="3" s="1"/>
  <c r="G31" i="3" s="1"/>
  <c r="C30" i="3"/>
  <c r="E30" i="3" s="1"/>
  <c r="G30" i="3" s="1"/>
  <c r="C29" i="3"/>
  <c r="E29" i="3" s="1"/>
  <c r="G29" i="3" s="1"/>
  <c r="C28" i="3"/>
  <c r="E28" i="3" s="1"/>
  <c r="G28" i="3" s="1"/>
  <c r="C27" i="3"/>
  <c r="E27" i="3" s="1"/>
  <c r="G27" i="3" s="1"/>
  <c r="C26" i="3"/>
  <c r="E26" i="3" s="1"/>
  <c r="G26" i="3" s="1"/>
  <c r="C25" i="3"/>
  <c r="E25" i="3" s="1"/>
  <c r="G25" i="3" s="1"/>
  <c r="C24" i="3"/>
  <c r="E24" i="3" s="1"/>
  <c r="G24" i="3" s="1"/>
  <c r="C23" i="3"/>
  <c r="E23" i="3" s="1"/>
  <c r="G23" i="3" s="1"/>
  <c r="C22" i="3"/>
  <c r="E22" i="3" s="1"/>
  <c r="G22" i="3" s="1"/>
  <c r="C21" i="3"/>
  <c r="E21" i="3" s="1"/>
  <c r="G21" i="3" s="1"/>
  <c r="C20" i="3"/>
  <c r="E20" i="3" s="1"/>
  <c r="G20" i="3" s="1"/>
  <c r="C19" i="3"/>
  <c r="E19" i="3" s="1"/>
  <c r="G19" i="3" s="1"/>
  <c r="C18" i="3"/>
  <c r="E18" i="3" s="1"/>
  <c r="G18" i="3" s="1"/>
  <c r="C17" i="3"/>
  <c r="E17" i="3" s="1"/>
  <c r="G17" i="3" s="1"/>
  <c r="C16" i="3"/>
  <c r="E16" i="3" s="1"/>
  <c r="G16" i="3" s="1"/>
  <c r="C15" i="3"/>
  <c r="E15" i="3" s="1"/>
  <c r="G15" i="3" s="1"/>
  <c r="C14" i="3"/>
  <c r="E14" i="3" s="1"/>
  <c r="G14" i="3" s="1"/>
  <c r="C13" i="3"/>
  <c r="E13" i="3" s="1"/>
  <c r="G13" i="3" s="1"/>
  <c r="C12" i="3"/>
  <c r="E12" i="3" s="1"/>
  <c r="G12" i="3" s="1"/>
  <c r="C11" i="3"/>
  <c r="E11" i="3" s="1"/>
  <c r="G11" i="3" s="1"/>
  <c r="C10" i="3"/>
  <c r="E10" i="3" s="1"/>
  <c r="G10" i="3" s="1"/>
  <c r="C9" i="3"/>
  <c r="E9" i="3" s="1"/>
  <c r="G9" i="3" s="1"/>
  <c r="C8" i="3"/>
  <c r="E8" i="3" s="1"/>
  <c r="G8" i="3" s="1"/>
  <c r="C7" i="3"/>
  <c r="E7" i="3" s="1"/>
  <c r="G7" i="3" s="1"/>
  <c r="C6" i="3"/>
  <c r="E6" i="3" s="1"/>
  <c r="G6" i="3" s="1"/>
  <c r="C5" i="3"/>
  <c r="E5" i="3" s="1"/>
  <c r="G5" i="3" s="1"/>
  <c r="C4" i="3"/>
  <c r="E4" i="3" s="1"/>
  <c r="G4" i="3" s="1"/>
  <c r="C3" i="3"/>
  <c r="E3" i="3" s="1"/>
  <c r="G3" i="3" s="1"/>
  <c r="C2" i="3"/>
  <c r="E2" i="3" s="1"/>
  <c r="G2" i="3" s="1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M132" i="4"/>
  <c r="M140" i="4"/>
  <c r="I3" i="4" l="1"/>
  <c r="J3" i="4" s="1"/>
  <c r="I11" i="4"/>
  <c r="J11" i="4" s="1"/>
  <c r="I15" i="4"/>
  <c r="J15" i="4" s="1"/>
  <c r="I24" i="4"/>
  <c r="J24" i="4" s="1"/>
  <c r="M24" i="4" s="1"/>
  <c r="I29" i="4"/>
  <c r="J29" i="4" s="1"/>
  <c r="I33" i="4"/>
  <c r="J33" i="4" s="1"/>
  <c r="I39" i="4"/>
  <c r="J39" i="4" s="1"/>
  <c r="I45" i="4"/>
  <c r="J45" i="4" s="1"/>
  <c r="M45" i="4" s="1"/>
  <c r="I49" i="4"/>
  <c r="J49" i="4" s="1"/>
  <c r="I55" i="4"/>
  <c r="J55" i="4" s="1"/>
  <c r="I62" i="4"/>
  <c r="J62" i="4" s="1"/>
  <c r="I66" i="4"/>
  <c r="J66" i="4" s="1"/>
  <c r="M66" i="4" s="1"/>
  <c r="I71" i="4"/>
  <c r="J71" i="4" s="1"/>
  <c r="I76" i="4"/>
  <c r="J76" i="4" s="1"/>
  <c r="I80" i="4"/>
  <c r="J80" i="4" s="1"/>
  <c r="I85" i="4"/>
  <c r="J85" i="4" s="1"/>
  <c r="I91" i="4"/>
  <c r="J91" i="4" s="1"/>
  <c r="I98" i="4"/>
  <c r="J98" i="4" s="1"/>
  <c r="I105" i="4"/>
  <c r="J105" i="4" s="1"/>
  <c r="I116" i="4"/>
  <c r="J116" i="4" s="1"/>
  <c r="I122" i="4"/>
  <c r="J122" i="4" s="1"/>
  <c r="I126" i="4"/>
  <c r="J126" i="4" s="1"/>
  <c r="I130" i="4"/>
  <c r="J130" i="4" s="1"/>
  <c r="I135" i="4"/>
  <c r="J135" i="4" s="1"/>
  <c r="M135" i="4" s="1"/>
  <c r="I144" i="4"/>
  <c r="J144" i="4" s="1"/>
  <c r="I148" i="4"/>
  <c r="J148" i="4" s="1"/>
  <c r="I154" i="4"/>
  <c r="J154" i="4" s="1"/>
  <c r="M154" i="4" s="1"/>
  <c r="I7" i="4"/>
  <c r="J7" i="4" s="1"/>
  <c r="M7" i="4" s="1"/>
  <c r="I13" i="4"/>
  <c r="J13" i="4" s="1"/>
  <c r="I18" i="4"/>
  <c r="J18" i="4" s="1"/>
  <c r="I27" i="4"/>
  <c r="J27" i="4" s="1"/>
  <c r="I31" i="4"/>
  <c r="J31" i="4" s="1"/>
  <c r="M31" i="4" s="1"/>
  <c r="I36" i="4"/>
  <c r="J36" i="4" s="1"/>
  <c r="I42" i="4"/>
  <c r="J42" i="4" s="1"/>
  <c r="I47" i="4"/>
  <c r="J47" i="4" s="1"/>
  <c r="I52" i="4"/>
  <c r="J52" i="4" s="1"/>
  <c r="M52" i="4" s="1"/>
  <c r="I58" i="4"/>
  <c r="J58" i="4" s="1"/>
  <c r="I64" i="4"/>
  <c r="J64" i="4" s="1"/>
  <c r="I69" i="4"/>
  <c r="J69" i="4" s="1"/>
  <c r="I74" i="4"/>
  <c r="J74" i="4" s="1"/>
  <c r="M74" i="4" s="1"/>
  <c r="I78" i="4"/>
  <c r="J78" i="4" s="1"/>
  <c r="I83" i="4"/>
  <c r="J83" i="4" s="1"/>
  <c r="I89" i="4"/>
  <c r="J89" i="4" s="1"/>
  <c r="M89" i="4" s="1"/>
  <c r="I94" i="4"/>
  <c r="J94" i="4" s="1"/>
  <c r="M94" i="4" s="1"/>
  <c r="I101" i="4"/>
  <c r="J101" i="4" s="1"/>
  <c r="I114" i="4"/>
  <c r="J114" i="4" s="1"/>
  <c r="I118" i="4"/>
  <c r="J118" i="4" s="1"/>
  <c r="I124" i="4"/>
  <c r="J124" i="4" s="1"/>
  <c r="I128" i="4"/>
  <c r="J128" i="4" s="1"/>
  <c r="I133" i="4"/>
  <c r="J133" i="4" s="1"/>
  <c r="I137" i="4"/>
  <c r="J137" i="4" s="1"/>
  <c r="I141" i="4"/>
  <c r="J141" i="4" s="1"/>
  <c r="I146" i="4"/>
  <c r="J146" i="4" s="1"/>
  <c r="I152" i="4"/>
  <c r="J152" i="4" s="1"/>
  <c r="I156" i="4"/>
  <c r="J156" i="4" s="1"/>
  <c r="I139" i="4"/>
  <c r="J139" i="4" s="1"/>
  <c r="I2" i="4"/>
  <c r="J2" i="4" s="1"/>
  <c r="M2" i="4" s="1"/>
  <c r="I8" i="4"/>
  <c r="J8" i="4" s="1"/>
  <c r="I14" i="4"/>
  <c r="J14" i="4" s="1"/>
  <c r="I20" i="4"/>
  <c r="J20" i="4" s="1"/>
  <c r="M20" i="4" s="1"/>
  <c r="I28" i="4"/>
  <c r="J28" i="4" s="1"/>
  <c r="M28" i="4" s="1"/>
  <c r="I32" i="4"/>
  <c r="J32" i="4" s="1"/>
  <c r="I38" i="4"/>
  <c r="J38" i="4" s="1"/>
  <c r="I44" i="4"/>
  <c r="J44" i="4" s="1"/>
  <c r="M44" i="4" s="1"/>
  <c r="I48" i="4"/>
  <c r="J48" i="4" s="1"/>
  <c r="M48" i="4" s="1"/>
  <c r="I53" i="4"/>
  <c r="J53" i="4" s="1"/>
  <c r="I61" i="4"/>
  <c r="J61" i="4" s="1"/>
  <c r="M61" i="4" s="1"/>
  <c r="I65" i="4"/>
  <c r="J65" i="4" s="1"/>
  <c r="M65" i="4" s="1"/>
  <c r="I70" i="4"/>
  <c r="J70" i="4" s="1"/>
  <c r="M70" i="4" s="1"/>
  <c r="I75" i="4"/>
  <c r="J75" i="4" s="1"/>
  <c r="I79" i="4"/>
  <c r="J79" i="4" s="1"/>
  <c r="I84" i="4"/>
  <c r="J84" i="4" s="1"/>
  <c r="M84" i="4" s="1"/>
  <c r="I90" i="4"/>
  <c r="J90" i="4" s="1"/>
  <c r="I95" i="4"/>
  <c r="J95" i="4" s="1"/>
  <c r="I104" i="4"/>
  <c r="J104" i="4" s="1"/>
  <c r="M104" i="4" s="1"/>
  <c r="I115" i="4"/>
  <c r="J115" i="4" s="1"/>
  <c r="M115" i="4" s="1"/>
  <c r="I120" i="4"/>
  <c r="J120" i="4" s="1"/>
  <c r="M120" i="4" s="1"/>
  <c r="I125" i="4"/>
  <c r="J125" i="4" s="1"/>
  <c r="I129" i="4"/>
  <c r="J129" i="4" s="1"/>
  <c r="M129" i="4" s="1"/>
  <c r="I134" i="4"/>
  <c r="J134" i="4" s="1"/>
  <c r="M134" i="4" s="1"/>
  <c r="I138" i="4"/>
  <c r="J138" i="4" s="1"/>
  <c r="M138" i="4" s="1"/>
  <c r="I142" i="4"/>
  <c r="J142" i="4" s="1"/>
  <c r="I147" i="4"/>
  <c r="J147" i="4" s="1"/>
  <c r="M147" i="4" s="1"/>
  <c r="I153" i="4"/>
  <c r="J153" i="4" s="1"/>
  <c r="M153" i="4" s="1"/>
  <c r="M3" i="4"/>
  <c r="M71" i="4"/>
  <c r="M144" i="4"/>
  <c r="M15" i="4"/>
  <c r="M128" i="4"/>
  <c r="M85" i="4"/>
  <c r="M133" i="4"/>
  <c r="M29" i="4"/>
  <c r="M95" i="4"/>
  <c r="M105" i="4"/>
  <c r="M83" i="4"/>
  <c r="M55" i="4"/>
  <c r="M13" i="4"/>
  <c r="M11" i="4"/>
  <c r="M76" i="4"/>
  <c r="M148" i="4"/>
  <c r="M80" i="4"/>
  <c r="M90" i="4"/>
  <c r="M38" i="4"/>
  <c r="M91" i="4"/>
  <c r="M146" i="4"/>
  <c r="M39" i="4"/>
  <c r="M58" i="4"/>
  <c r="M152" i="4"/>
  <c r="M53" i="4"/>
  <c r="M130" i="4"/>
  <c r="M126" i="4"/>
  <c r="M8" i="4"/>
  <c r="M33" i="4"/>
  <c r="M98" i="4"/>
  <c r="M18" i="4"/>
  <c r="M64" i="4"/>
  <c r="M27" i="4"/>
  <c r="M156" i="4"/>
  <c r="M116" i="4"/>
  <c r="M137" i="4"/>
  <c r="M49" i="4"/>
  <c r="M122" i="4"/>
  <c r="M69" i="4"/>
  <c r="M62" i="4"/>
  <c r="M142" i="4"/>
  <c r="M32" i="4"/>
  <c r="M141" i="4"/>
  <c r="M78" i="4"/>
  <c r="M125" i="4"/>
  <c r="M139" i="4"/>
  <c r="M36" i="4"/>
  <c r="M101" i="4"/>
  <c r="M114" i="4"/>
  <c r="M47" i="4"/>
  <c r="M14" i="4"/>
  <c r="M124" i="4"/>
  <c r="M42" i="4"/>
  <c r="M75" i="4"/>
  <c r="M118" i="4"/>
  <c r="M79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<sst xmlns="http://schemas.openxmlformats.org/spreadsheetml/2006/main" count="5587" uniqueCount="1650">
  <si>
    <t>FECHA DE NACIMIENTO</t>
  </si>
  <si>
    <t>EDAD</t>
  </si>
  <si>
    <t>SEXO</t>
  </si>
  <si>
    <t xml:space="preserve">DISTRITO </t>
  </si>
  <si>
    <t>PUEBLO ORIGINARIO</t>
  </si>
  <si>
    <t xml:space="preserve">MIEMBRO COMISIÓN </t>
  </si>
  <si>
    <t>1966-08-30</t>
  </si>
  <si>
    <t>Masculino</t>
  </si>
  <si>
    <t>PUEBLOS ORIGINARIOS</t>
  </si>
  <si>
    <t>MAPUCHE</t>
  </si>
  <si>
    <t>Pueblos Originarios</t>
  </si>
  <si>
    <t>Forma de Estado</t>
  </si>
  <si>
    <t>1986-12-01</t>
  </si>
  <si>
    <t>Femenino</t>
  </si>
  <si>
    <t>DEL PUEBLO</t>
  </si>
  <si>
    <t>Otros</t>
  </si>
  <si>
    <t>INDEPENDIENTE</t>
  </si>
  <si>
    <t>1962-06-22</t>
  </si>
  <si>
    <t>APRUEBO</t>
  </si>
  <si>
    <t>Colectivo Socialista</t>
  </si>
  <si>
    <t>INDEPENDIENTE SOCIALISTA DE CHILE</t>
  </si>
  <si>
    <t>Derechos Fundamentales</t>
  </si>
  <si>
    <t>1944-04-26</t>
  </si>
  <si>
    <t>Colectivo Apruebo</t>
  </si>
  <si>
    <t>INDEPENDIENTE LIBERAL DE CHILE</t>
  </si>
  <si>
    <t>Principios Constitucionales</t>
  </si>
  <si>
    <t>1961-03-10</t>
  </si>
  <si>
    <t>OTROS</t>
  </si>
  <si>
    <t>Movimiento Sociales Constituyentes</t>
  </si>
  <si>
    <t>Sistema Político</t>
  </si>
  <si>
    <t>1977-10-25</t>
  </si>
  <si>
    <t>Mixto</t>
  </si>
  <si>
    <t>1975-08-18</t>
  </si>
  <si>
    <t>Sistemas de Conocimiento</t>
  </si>
  <si>
    <t>1982-02-11</t>
  </si>
  <si>
    <t>VAMOS POR CHILE</t>
  </si>
  <si>
    <t>Vamos por Chile</t>
  </si>
  <si>
    <t>INDEPENDIENTE UNION DEMOCRATA INDEPENDIENTE</t>
  </si>
  <si>
    <t>1990-12-29</t>
  </si>
  <si>
    <t>1971-10-16</t>
  </si>
  <si>
    <t>RENOVACION NACIONAL</t>
  </si>
  <si>
    <t>1976-07-05</t>
  </si>
  <si>
    <t>1971-04-03</t>
  </si>
  <si>
    <t>APRUEBO DIGNIDAD</t>
  </si>
  <si>
    <t>Frente Amplio</t>
  </si>
  <si>
    <t>REVOLUCION DEMOCRATICA</t>
  </si>
  <si>
    <t>1973-06-04</t>
  </si>
  <si>
    <t>Sistemas de Justicia</t>
  </si>
  <si>
    <t>1964-07-31</t>
  </si>
  <si>
    <t>INDEPENDIENTE REVOLUCION DEMOCRATICA</t>
  </si>
  <si>
    <t>1973-01-22</t>
  </si>
  <si>
    <t>INDEPENDIENTE EVOLUCION POLITICA</t>
  </si>
  <si>
    <t>1985-06-19</t>
  </si>
  <si>
    <t>Chile Digno</t>
  </si>
  <si>
    <t>COMUNISTA DE CHILE</t>
  </si>
  <si>
    <t>1990-04-22</t>
  </si>
  <si>
    <t>1970-12-24</t>
  </si>
  <si>
    <t>1959-01-01</t>
  </si>
  <si>
    <t>NUEVA CONSTITUCION</t>
  </si>
  <si>
    <t>Nueva Constitución</t>
  </si>
  <si>
    <t>1946-01-03</t>
  </si>
  <si>
    <t>1964-06-10</t>
  </si>
  <si>
    <t>INDEPENDIENTE RENOVACION NACIONAL</t>
  </si>
  <si>
    <t>Medio Ambiente</t>
  </si>
  <si>
    <t>1984-12-31</t>
  </si>
  <si>
    <t>INDEPENDIENTE PROGRESISTA DE CHILE</t>
  </si>
  <si>
    <t>2001-08-12</t>
  </si>
  <si>
    <t>Pueblo Constituyente</t>
  </si>
  <si>
    <t>1946-03-07</t>
  </si>
  <si>
    <t>1979-03-06</t>
  </si>
  <si>
    <t>UNION DEMOCRATA INDEPENDIENTE</t>
  </si>
  <si>
    <t>1978-09-30</t>
  </si>
  <si>
    <t>1981-07-03</t>
  </si>
  <si>
    <t>1984-12-21</t>
  </si>
  <si>
    <t>INDEPENDIENTE COMUNES</t>
  </si>
  <si>
    <t>1968-12-22</t>
  </si>
  <si>
    <t>1989-01-05</t>
  </si>
  <si>
    <t>SOCIALISTA DE CHILE</t>
  </si>
  <si>
    <t>1984-01-18</t>
  </si>
  <si>
    <t>1972-07-31</t>
  </si>
  <si>
    <t>INDEPENDIENTE DEMOCRATA CRISTIANO</t>
  </si>
  <si>
    <t>1968-04-28</t>
  </si>
  <si>
    <t>1981-05-10</t>
  </si>
  <si>
    <t>1977-12-10</t>
  </si>
  <si>
    <t>1985-09-18</t>
  </si>
  <si>
    <t>1989-01-31</t>
  </si>
  <si>
    <t>CONVERGENCIA SOCIAL</t>
  </si>
  <si>
    <t>1986-03-10</t>
  </si>
  <si>
    <t>1968-05-12</t>
  </si>
  <si>
    <t>1980-02-28</t>
  </si>
  <si>
    <t>1988-11-14</t>
  </si>
  <si>
    <t>1989-05-02</t>
  </si>
  <si>
    <t>INDEPENDIENTE CONVERGENCIA SOCIAL</t>
  </si>
  <si>
    <t>1982-04-17</t>
  </si>
  <si>
    <t>1965-11-03</t>
  </si>
  <si>
    <t>1987-10-31</t>
  </si>
  <si>
    <t>1995-11-23</t>
  </si>
  <si>
    <t>1950-06-25</t>
  </si>
  <si>
    <t>POR LA DEMOCRACIA</t>
  </si>
  <si>
    <t>1984-11-23</t>
  </si>
  <si>
    <t>1963-01-23</t>
  </si>
  <si>
    <t>1974-09-19</t>
  </si>
  <si>
    <t>1970-07-31</t>
  </si>
  <si>
    <t>DIAGUITA</t>
  </si>
  <si>
    <t>1985-01-04</t>
  </si>
  <si>
    <t>1972-07-20</t>
  </si>
  <si>
    <t>1982-08-18</t>
  </si>
  <si>
    <t>1986-03-23</t>
  </si>
  <si>
    <t>ATACAMEÑO</t>
  </si>
  <si>
    <t>1968-10-30</t>
  </si>
  <si>
    <t>1956-03-02</t>
  </si>
  <si>
    <t>1953-11-22</t>
  </si>
  <si>
    <t>CHANGO</t>
  </si>
  <si>
    <t>1956-09-18</t>
  </si>
  <si>
    <t>1991-03-15</t>
  </si>
  <si>
    <t>1990-03-18</t>
  </si>
  <si>
    <t>1976-12-01</t>
  </si>
  <si>
    <t>DEMOCRATA CRISTIANO</t>
  </si>
  <si>
    <t>1988-10-27</t>
  </si>
  <si>
    <t>1969-09-08</t>
  </si>
  <si>
    <t>EVOLUCION POLITICA</t>
  </si>
  <si>
    <t>1986-11-20</t>
  </si>
  <si>
    <t>1975-05-06</t>
  </si>
  <si>
    <t>1963-03-23</t>
  </si>
  <si>
    <t>1996-11-27</t>
  </si>
  <si>
    <t>1942-05-30</t>
  </si>
  <si>
    <t>1986-10-15</t>
  </si>
  <si>
    <t>1965-10-29</t>
  </si>
  <si>
    <t>FEDERACION REGIONALISTA VERDE SOCIAL</t>
  </si>
  <si>
    <t>1974-12-24</t>
  </si>
  <si>
    <t>1961-10-05</t>
  </si>
  <si>
    <t>1979-10-17</t>
  </si>
  <si>
    <t>1990-06-05</t>
  </si>
  <si>
    <t>1967-12-03</t>
  </si>
  <si>
    <t>COLLA</t>
  </si>
  <si>
    <t>1988-01-07</t>
  </si>
  <si>
    <t>AIMARA</t>
  </si>
  <si>
    <t>1990-07-11</t>
  </si>
  <si>
    <t>1977-03-31</t>
  </si>
  <si>
    <t>1989-06-30</t>
  </si>
  <si>
    <t>1988-10-14</t>
  </si>
  <si>
    <t>1981-01-10</t>
  </si>
  <si>
    <t>1967-01-08</t>
  </si>
  <si>
    <t>1969-06-11</t>
  </si>
  <si>
    <t>1963-05-29</t>
  </si>
  <si>
    <t>1968-03-28</t>
  </si>
  <si>
    <t>1964-09-10</t>
  </si>
  <si>
    <t>1991-04-17</t>
  </si>
  <si>
    <t>1967-04-27</t>
  </si>
  <si>
    <t>YAGAN</t>
  </si>
  <si>
    <t>1992-09-14</t>
  </si>
  <si>
    <t>1973-07-18</t>
  </si>
  <si>
    <t>1980-02-09</t>
  </si>
  <si>
    <t>1971-02-03</t>
  </si>
  <si>
    <t>1983-09-10</t>
  </si>
  <si>
    <t>1952-11-27</t>
  </si>
  <si>
    <t>1982-12-01</t>
  </si>
  <si>
    <t>1953-11-10</t>
  </si>
  <si>
    <t>INDEPENDIENTE POR LA DEMOCRACIA</t>
  </si>
  <si>
    <t>1955-04-16</t>
  </si>
  <si>
    <t>1987-07-02</t>
  </si>
  <si>
    <t>1984-03-11</t>
  </si>
  <si>
    <t>1982-12-27</t>
  </si>
  <si>
    <t>INDEPENDIENTE IGUALDAD</t>
  </si>
  <si>
    <t>1967-02-02</t>
  </si>
  <si>
    <t>1989-12-29</t>
  </si>
  <si>
    <t>1973-03-25</t>
  </si>
  <si>
    <t>1969-10-30</t>
  </si>
  <si>
    <t>KAWASHKAR</t>
  </si>
  <si>
    <t>1961-03-23</t>
  </si>
  <si>
    <t>1956-03-18</t>
  </si>
  <si>
    <t>1981-12-20</t>
  </si>
  <si>
    <t>1982-10-23</t>
  </si>
  <si>
    <t>1958-01-28</t>
  </si>
  <si>
    <t>1967-04-02</t>
  </si>
  <si>
    <t>1956-10-04</t>
  </si>
  <si>
    <t>1980-12-22</t>
  </si>
  <si>
    <t>1985-10-20</t>
  </si>
  <si>
    <t>1989-01-24</t>
  </si>
  <si>
    <t>1972-03-21</t>
  </si>
  <si>
    <t>1984-09-27</t>
  </si>
  <si>
    <t>1968-11-14</t>
  </si>
  <si>
    <t>1985-07-09</t>
  </si>
  <si>
    <t>1984-07-14</t>
  </si>
  <si>
    <t>1987-09-28</t>
  </si>
  <si>
    <t>1971-05-28</t>
  </si>
  <si>
    <t>1973-02-11</t>
  </si>
  <si>
    <t>1986-04-25</t>
  </si>
  <si>
    <t>1952-02-28</t>
  </si>
  <si>
    <t>1969-09-21</t>
  </si>
  <si>
    <t>1987-07-21</t>
  </si>
  <si>
    <t>1972-03-09</t>
  </si>
  <si>
    <t>1974-11-26</t>
  </si>
  <si>
    <t>1962-09-05</t>
  </si>
  <si>
    <t>1986-07-11</t>
  </si>
  <si>
    <t>INDEPENDIENTE RADICAL DE CHILE</t>
  </si>
  <si>
    <t>1987-12-13</t>
  </si>
  <si>
    <t>1983-06-12</t>
  </si>
  <si>
    <t>1947-01-31</t>
  </si>
  <si>
    <t>INDEPENDIENTE FEDERACION REGIONALISTA VERDE SOCIAL</t>
  </si>
  <si>
    <t>1981-05-09</t>
  </si>
  <si>
    <t>1978-06-20</t>
  </si>
  <si>
    <t>1966-07-30</t>
  </si>
  <si>
    <t>1980-02-01</t>
  </si>
  <si>
    <t>1983-10-10</t>
  </si>
  <si>
    <t>1981-09-23</t>
  </si>
  <si>
    <t>1970-04-09</t>
  </si>
  <si>
    <t>1986-12-09</t>
  </si>
  <si>
    <t>1981-04-13</t>
  </si>
  <si>
    <t>1986-11-28</t>
  </si>
  <si>
    <t>1972-02-23</t>
  </si>
  <si>
    <t>1982-11-16</t>
  </si>
  <si>
    <t>1973-02-03</t>
  </si>
  <si>
    <t>1982-02-13</t>
  </si>
  <si>
    <t>RAPANUI</t>
  </si>
  <si>
    <t>1990-09-28</t>
  </si>
  <si>
    <t>2000-03-19</t>
  </si>
  <si>
    <t>1979-12-27</t>
  </si>
  <si>
    <t>INDEPENDIENTE COMUNISTA DE CHILE</t>
  </si>
  <si>
    <t>1969-09-20</t>
  </si>
  <si>
    <t>1975-09-27</t>
  </si>
  <si>
    <t>QUECHUA</t>
  </si>
  <si>
    <t>1990-06-08</t>
  </si>
  <si>
    <t>ADOLFO NONATO MILLABUR ÑANCUIL</t>
  </si>
  <si>
    <t>ADRIANA CAMILA AMPUERO BARRIENTOS</t>
  </si>
  <si>
    <t>ADRIANA JANET MERCEDES CANCINO MENESES</t>
  </si>
  <si>
    <t>AGUSTÍN SQUELLA NARDUCCI</t>
  </si>
  <si>
    <t>ALEJANDRA ALICIA FLORES CARLOS</t>
  </si>
  <si>
    <t>ALEJANDRA PÍA PÉREZ ESPINA</t>
  </si>
  <si>
    <t>ALEXIS REINALDO CAIGUÁN ANCAPAN</t>
  </si>
  <si>
    <t>ALFREDO MORENO ECHEVERRÍA</t>
  </si>
  <si>
    <t>ALONDRA CARRILLO VIDAL</t>
  </si>
  <si>
    <t>ÁLVARO ARTURO JOFRE CÁCERES</t>
  </si>
  <si>
    <t>ALVIN ANTONIO SALDAÑA MUÑOZ</t>
  </si>
  <si>
    <t>AMAYA PAULINA ÁLVEZ MARIN</t>
  </si>
  <si>
    <t>ANDRÉS NORBERTO CRUZ CARRASCO</t>
  </si>
  <si>
    <t>AURORA GENOVEVA DELGADO VERGARA</t>
  </si>
  <si>
    <t>BÁRBARA ALEJANDRA REBOLLEDO AGUIRRE</t>
  </si>
  <si>
    <t>BÁRBARA SEPÚLVEDA HALES</t>
  </si>
  <si>
    <t>BASTIÁN ESTEBAN LABBÉ SALAZAR</t>
  </si>
  <si>
    <t>BEATRIZ DE JESUS SÁNCHEZ MUÑOZ</t>
  </si>
  <si>
    <t>BENITO JOSE BARANDA FERRAN</t>
  </si>
  <si>
    <t>BERNARDO ARTURO DE LA MAZA BAÑADOS</t>
  </si>
  <si>
    <t>BERNARDO FONTAINE TALAVERA</t>
  </si>
  <si>
    <t>BESSY MIREYA DEL ROSARIO GALLARDO PRADO</t>
  </si>
  <si>
    <t>CAMILA IGNACIA ZÁRATE ZÁRATE</t>
  </si>
  <si>
    <t>CARLOS MANUEL CALVO MUÑOZ</t>
  </si>
  <si>
    <t>CARLOS MARTÍN ARRAU GARCÍA-HUIDOBRO</t>
  </si>
  <si>
    <t>CAROL CECILIA BOWN SEPÚLVEDA</t>
  </si>
  <si>
    <t>CAROLINA CYNTIA VILCHES FUENZALIDA</t>
  </si>
  <si>
    <t>CAROLINA ELIANA VIDELA OSORIO</t>
  </si>
  <si>
    <t>CÉSAR IGNACIO VALENZUELA MAASS</t>
  </si>
  <si>
    <t>CÉSAR RODRIGO URIBE ARAYA</t>
  </si>
  <si>
    <t>CHRISTIAN PABLO VIERA ALVAREZ</t>
  </si>
  <si>
    <t>CLAUDIA MABEL CASTRO GUTIÉRREZ</t>
  </si>
  <si>
    <t>CLAUDIA MARGARITA LETELIER CORTÉS</t>
  </si>
  <si>
    <t>CLAUDIO FRANCISCO GÓMEZ CASTRO</t>
  </si>
  <si>
    <t>CONSTANZA ANDREA SAN JUAN STANDEN</t>
  </si>
  <si>
    <t>CONSTANZA GABRIELA SCHONHAUT SOTO</t>
  </si>
  <si>
    <t>CONSTANZA VERÓNICA HUBE PORTUS</t>
  </si>
  <si>
    <t>CRISTIÁN MONCKEBERG BRUNER</t>
  </si>
  <si>
    <t>CRISTINA INÉS DORADOR ORTIZ</t>
  </si>
  <si>
    <t>CRISTÓBAL PATRICIO ANDRADE LEÓN</t>
  </si>
  <si>
    <t>DAMARIS DANIELA GONZÁLEZ ABARCA</t>
  </si>
  <si>
    <t>DANIEL ALEJANDRO BRAVO SILVA</t>
  </si>
  <si>
    <t>DANIEL RODRIGO STINGO CAMUS</t>
  </si>
  <si>
    <t>DAYYANA ALEJANDRA GONZÁLEZ ARAYA</t>
  </si>
  <si>
    <t>EDUARDO ANDRÉS CRETTON REBOLLEDO</t>
  </si>
  <si>
    <t>EDUARDO GUILLERMO CASTILLO VIGOUROUX</t>
  </si>
  <si>
    <t>ELISA AMANDA GIUSTINIANOVICH CAMPOS</t>
  </si>
  <si>
    <t>ELISA DEL CARMEN LONCÓN ANTILEO</t>
  </si>
  <si>
    <t>ELSA CAROLINA LABRAÑA PINO</t>
  </si>
  <si>
    <t>ERIC JOHANNY CHINGA FERREIRA</t>
  </si>
  <si>
    <t>ERICKA NATALIA PORTILLA BARRIOS</t>
  </si>
  <si>
    <t>FELIPE HARBOE BASCUÑAN</t>
  </si>
  <si>
    <t>FELIPE IGNACIO MENA VILLAR</t>
  </si>
  <si>
    <t>FÉLIX RAMÓN GALLEGUILLOS AYMANI</t>
  </si>
  <si>
    <t>FERNANDO ATRIA LEMAITRE</t>
  </si>
  <si>
    <t>FERNANDO CARLOS SALINAS MANFREDINI</t>
  </si>
  <si>
    <t>FERNANDO DEL CARMEN TIRADO SOTO</t>
  </si>
  <si>
    <t>FRANCISCA LINCONAO HUIRCAPÁN</t>
  </si>
  <si>
    <t>FRANCISCA MARYCARMEN ARAUNA URRUTIA</t>
  </si>
  <si>
    <t>FRANCISCO JAVIER CAAMAÑO ROJAS</t>
  </si>
  <si>
    <t>FUAD EDUARDO CHAHIN VALENZUELA</t>
  </si>
  <si>
    <t>GASPAR ROBERTO DOMÍNGUEZ DONOSO</t>
  </si>
  <si>
    <t>GEOCONDA ELVIRA NAVARRETE ARRATIA</t>
  </si>
  <si>
    <t>GIOVANNA ÁNGELA ROA CADIN</t>
  </si>
  <si>
    <t>GIOVANNA JAZMIN GRANDON CARO</t>
  </si>
  <si>
    <t>GLORIA DEL TRÁNSITO ALVARADO JORQUERA</t>
  </si>
  <si>
    <t>GUILLERMO NICOLÁS NAMOR KONG</t>
  </si>
  <si>
    <t>HARRY ROLANDO JURGENSEN CAESAR</t>
  </si>
  <si>
    <t>HELMUTH JACOBO MARTÍNEZ LLANCAPAN</t>
  </si>
  <si>
    <t>HERNAN JESÚS VELÁSQUEZ NÚÑEZ</t>
  </si>
  <si>
    <t>HERNÁN LARRAÍN MATTE</t>
  </si>
  <si>
    <t>HUGO HUMBERTO GUTIÉRREZ GÁLVEZ</t>
  </si>
  <si>
    <t>IGNACIO JAIME ACHURRA DÍAZ</t>
  </si>
  <si>
    <t>INGRID FERNANDA VILLENA NARBONA</t>
  </si>
  <si>
    <t>ISABEL SELENA GODOY MONARDEZ</t>
  </si>
  <si>
    <t>ISABELLA BRUNILDA MAMANI MAMANI</t>
  </si>
  <si>
    <t>IVANNA DANIELA OLIVARES MIRANDA</t>
  </si>
  <si>
    <t>JAIME ANDRÉS BASSA MERCADO</t>
  </si>
  <si>
    <t>JANIS JAN DEL CARMEN MENESES PALMA</t>
  </si>
  <si>
    <t>JAVIER ALEJANDRO FUCHSLOCHER BAEZA</t>
  </si>
  <si>
    <t>JENIFFER VALERIA MELLA ESCOBAR</t>
  </si>
  <si>
    <t>JORGE BRUNO ABARCA RIVEROS</t>
  </si>
  <si>
    <t>JORGE MARCOS BARADIT MORALES</t>
  </si>
  <si>
    <t>JUAN JOSÉ ANGEL SAN MARTIN BRAVO</t>
  </si>
  <si>
    <t>JULIO JOSE LUIS ALVAREZ PINTO</t>
  </si>
  <si>
    <t>KATERINE PRICILA MONTEALEGRE NAVARRO</t>
  </si>
  <si>
    <t>LIDIA CRISTINA GONZÁLEZ CALDERÓN</t>
  </si>
  <si>
    <t>LISETTE LORENA VERGARA RIQUELME</t>
  </si>
  <si>
    <t>LORENA DEL PILAR CESPEDES FERNANDEZ</t>
  </si>
  <si>
    <t>LORETO CRISTINA VALLEJOS DAVILA</t>
  </si>
  <si>
    <t>LUCIANO ERNESTO SILVA MORA</t>
  </si>
  <si>
    <t>LUIS ALBERTO JIMENEZ CACERES</t>
  </si>
  <si>
    <t>LUIS ALEJANDRO ABEL MAYOL BOUCHON</t>
  </si>
  <si>
    <t>LUIS ARTURO ZUÑIGA JORY</t>
  </si>
  <si>
    <t>LUIS RAMÓN BARCELÓ AMADO</t>
  </si>
  <si>
    <t>MALUCHA PINTO SOLARI</t>
  </si>
  <si>
    <t>MANUEL JOSE OSSANDON LIRA</t>
  </si>
  <si>
    <t>MANUEL MAURICIO WOLDARSKY GONZALEZ</t>
  </si>
  <si>
    <t>MANUELA ROYO LETELIER</t>
  </si>
  <si>
    <t>MARCELA CUBILLOS SIGALL</t>
  </si>
  <si>
    <t>MARCO ANTONIO ARELLANO ORTEGA</t>
  </si>
  <si>
    <t>MARCOS PATRICIO BARRAZA GOMEZ</t>
  </si>
  <si>
    <t>MARGARITA VIRGINIA VARGAS LOPEZ</t>
  </si>
  <si>
    <t>MARÍA ANGÉLICA TEPPER KOLOSSA</t>
  </si>
  <si>
    <t>MARÍA CECILIA UBILLA PÉREZ</t>
  </si>
  <si>
    <t>MARIA ELISA QUINTEROS CACERES</t>
  </si>
  <si>
    <t>MARIA JOSE OYARZUN SOLIS</t>
  </si>
  <si>
    <t>MARIA MAGDALENA RIVERA IRIBARREN</t>
  </si>
  <si>
    <t>MARIA RAMONA REYES PAINEQUEO</t>
  </si>
  <si>
    <t>MARIA TRINIDAD CASTILLO BOILET</t>
  </si>
  <si>
    <t>MARIELA ANDREA SEREY JIMENEZ</t>
  </si>
  <si>
    <t>MARIO EDUARDO VARGAS VIDAL</t>
  </si>
  <si>
    <t>MATIAS IGNACIO ORELLANA CUELLAR</t>
  </si>
  <si>
    <t>MAURICIO ANTONIO DAZA CARRASCO</t>
  </si>
  <si>
    <t>MAXIMILIANO ANDRÉS HURTADO ROCO</t>
  </si>
  <si>
    <t>MIGUEL ÁNGEL BOTTO SALINAS</t>
  </si>
  <si>
    <t>NATALIA ESTHER HENRÍQUEZ CARREÑO</t>
  </si>
  <si>
    <t>NATIVIDAD DEL CARMEN LLANQUILEO PILQUIMAN</t>
  </si>
  <si>
    <t>NICOLÁS FERNANDO NÚÑEZ GANGAS</t>
  </si>
  <si>
    <t>PABLO ANTONIO TOLOZA FERNANDEZ</t>
  </si>
  <si>
    <t>PAOLA ALEJANDRA GRANDÓN GONZÁLEZ</t>
  </si>
  <si>
    <t>PATRICIA FRANCISCA LABRA BESSERER</t>
  </si>
  <si>
    <t>PATRICIA ROSA POLITZER KEREKES</t>
  </si>
  <si>
    <t>PATRICIO HERMAN FERNANDEZ CHADWICK</t>
  </si>
  <si>
    <t>PAULINA NATALIA VELOSO MUÑOZ</t>
  </si>
  <si>
    <t>PAULINA VALERIA VALENZUELA RÍO</t>
  </si>
  <si>
    <t>PEDRO ENRIQUE MUÑOZ LEIVA</t>
  </si>
  <si>
    <t>POLLYANA DUENDY ALEJANDRA RIVERA BIGAS</t>
  </si>
  <si>
    <t>RAÚL EDUARDO CELIS MONTT</t>
  </si>
  <si>
    <t>RENATO FABRIZIO GARÍN GONZÁLEZ</t>
  </si>
  <si>
    <t>RICARDO ANDRÉS NEUMANN BERTIN</t>
  </si>
  <si>
    <t>RICARDO IGNACIO MONTERO ALLENDE</t>
  </si>
  <si>
    <t>ROBERTO ANTONIO CELEDON FERNANDEZ</t>
  </si>
  <si>
    <t>ROBERTO HERNÁN VEGA CAMPUSANO</t>
  </si>
  <si>
    <t>ROCIO AMPARO CANTUARIAS RUBIO</t>
  </si>
  <si>
    <t>RODRIGO ALEJANDRO ALVAREZ ZENTENO</t>
  </si>
  <si>
    <t>RODRIGO ALEJANDRO LOGAN SOTO</t>
  </si>
  <si>
    <t>RODRIGO ERNESTO ROJAS VADE</t>
  </si>
  <si>
    <t>ROSA ELIZABETH CATRILEO ARIAS</t>
  </si>
  <si>
    <t>ROSSANA LORETO VIDAL HERNANDEZ</t>
  </si>
  <si>
    <t>RUGGERO IGNACIO COZZI ELZO</t>
  </si>
  <si>
    <t>RUTH ESTER HURTADO OLAVE</t>
  </si>
  <si>
    <t>TAMMY SOLANGE PUSTILNICK ARDITI</t>
  </si>
  <si>
    <t>TANIA ISABEL MADRIAGA FLORES</t>
  </si>
  <si>
    <t>TATIANA KARINA URRUTIA HERRERA</t>
  </si>
  <si>
    <t>TERESA MARGARITA NATALIA MARINOVIC VIAL</t>
  </si>
  <si>
    <t>TIARE MAEVA CAROLINA AGUILERA HEY</t>
  </si>
  <si>
    <t>TOMÁS CALEB LAIBE SÁEZ</t>
  </si>
  <si>
    <t>VALENTINA ANDREA MIRANDA ARCE</t>
  </si>
  <si>
    <t>VANESSA CAMILA HOPPE ESPOZ</t>
  </si>
  <si>
    <t>VICTORINO ERNESTO ANTILEF ÑANCO</t>
  </si>
  <si>
    <t>WILFREDO MANUEL BACIÁN DELGADO</t>
  </si>
  <si>
    <t>YARELA NICOHL GÓMEZ SÁNCHEZ</t>
  </si>
  <si>
    <t>PACTO POR EL QUE FUE ELECTO</t>
  </si>
  <si>
    <t>LISTA EN LA CONVENCIÓN</t>
  </si>
  <si>
    <t>Convencional</t>
  </si>
  <si>
    <t>Zúñiga, Luis Arturo</t>
  </si>
  <si>
    <t>Justicia</t>
  </si>
  <si>
    <t>Conocimiento</t>
  </si>
  <si>
    <t>Zárate, Camila</t>
  </si>
  <si>
    <t>Woldarsky, Manuel</t>
  </si>
  <si>
    <t>Villena, Ingrid</t>
  </si>
  <si>
    <t>Vilches, Carolina</t>
  </si>
  <si>
    <t>Viera, Christian</t>
  </si>
  <si>
    <t>Videla, Carolina</t>
  </si>
  <si>
    <t>Vidal, Loreto</t>
  </si>
  <si>
    <t>Vergara, Lisette</t>
  </si>
  <si>
    <t>Velásquez, Hernán</t>
  </si>
  <si>
    <t>Veloso, Paulina</t>
  </si>
  <si>
    <t>Vega, Roberto</t>
  </si>
  <si>
    <t>Vargas, Mario</t>
  </si>
  <si>
    <t>Vargas, Margarita</t>
  </si>
  <si>
    <t>Vallejos, Loreto</t>
  </si>
  <si>
    <t>Valenzuela, Paulina</t>
  </si>
  <si>
    <t>Valenzuela, César</t>
  </si>
  <si>
    <t>Urrutia, Tatiana</t>
  </si>
  <si>
    <t>Uribe, César</t>
  </si>
  <si>
    <t>Ubilla, María Cecilia</t>
  </si>
  <si>
    <t>Toloza, Pablo</t>
  </si>
  <si>
    <t>Tirado, Fernando</t>
  </si>
  <si>
    <t>Tepper, María Angélica</t>
  </si>
  <si>
    <t>Sánchez, Beatriz</t>
  </si>
  <si>
    <t>Stingo, Daniel</t>
  </si>
  <si>
    <t>Squella, Agustín</t>
  </si>
  <si>
    <t>Silva, Luciano</t>
  </si>
  <si>
    <t>Serey, Mariela</t>
  </si>
  <si>
    <t>Sepúlveda, Carolina</t>
  </si>
  <si>
    <t>Sepúlveda, Bárbara</t>
  </si>
  <si>
    <t>Schonhaut, Constanza</t>
  </si>
  <si>
    <t>San Juan, Constanza</t>
  </si>
  <si>
    <t>Salinas, Fernando</t>
  </si>
  <si>
    <t>Saldaña, Alvin</t>
  </si>
  <si>
    <t>Royo, Manuela</t>
  </si>
  <si>
    <t>Roa, Giovanna</t>
  </si>
  <si>
    <t>Rivera, Pollyana</t>
  </si>
  <si>
    <t>Rivera, María Magdalena</t>
  </si>
  <si>
    <t>Reyes, María Ramona</t>
  </si>
  <si>
    <t>Rebolledo, Bárbara</t>
  </si>
  <si>
    <t>Quinteros, María Elisa</t>
  </si>
  <si>
    <t>Pérez, Alejandra</t>
  </si>
  <si>
    <t>Pustilnick, Tammy</t>
  </si>
  <si>
    <t>Portilla, Ericka</t>
  </si>
  <si>
    <t>Politzer, Patricia</t>
  </si>
  <si>
    <t>Pinto, Malucha</t>
  </si>
  <si>
    <t>Oyarzún, María José</t>
  </si>
  <si>
    <t>Ossandón, Manuel</t>
  </si>
  <si>
    <t>Orellana, Matías</t>
  </si>
  <si>
    <t>Olivares, Ivanna</t>
  </si>
  <si>
    <t>Núñez, Nicolás</t>
  </si>
  <si>
    <t>Neumann, Ricardo</t>
  </si>
  <si>
    <t>Navarrete, Geoconda</t>
  </si>
  <si>
    <t>Namor, Guillermo</t>
  </si>
  <si>
    <t>Muñoz, Pedro</t>
  </si>
  <si>
    <t>Moreno, Alfredo</t>
  </si>
  <si>
    <t>Montero, Ricardo</t>
  </si>
  <si>
    <t>Montealegre, Katerine</t>
  </si>
  <si>
    <t>Monckeberg, Cristían</t>
  </si>
  <si>
    <t>Miranda, Valentina</t>
  </si>
  <si>
    <t>Millabur, Adolfo</t>
  </si>
  <si>
    <t>Meneses, Janis</t>
  </si>
  <si>
    <t>Mena, Felipe</t>
  </si>
  <si>
    <t>Mella, Jeniffer</t>
  </si>
  <si>
    <t>Mayol, Luis</t>
  </si>
  <si>
    <t>Martínez, Helmuth</t>
  </si>
  <si>
    <t>Martín, Juan José</t>
  </si>
  <si>
    <t>Marinovic, Teresa</t>
  </si>
  <si>
    <t>Mamani, Isabella</t>
  </si>
  <si>
    <t>Madriaga, Tania</t>
  </si>
  <si>
    <t>Loncón, Elisa</t>
  </si>
  <si>
    <t>Logan, Rodrigo</t>
  </si>
  <si>
    <t>Llanquileo, Natividad</t>
  </si>
  <si>
    <t>Linconao, Francisca</t>
  </si>
  <si>
    <t>Letelier, Margarita</t>
  </si>
  <si>
    <t>Larraín, Hernán</t>
  </si>
  <si>
    <t>Laibe, Tomás</t>
  </si>
  <si>
    <t>Labraña, Elsa</t>
  </si>
  <si>
    <t>Labra, Patricia</t>
  </si>
  <si>
    <t>Labbé, Bastián</t>
  </si>
  <si>
    <t>Jurgensen, Harry</t>
  </si>
  <si>
    <t>Jofré, Alvaro</t>
  </si>
  <si>
    <t>Jiménez, Luis</t>
  </si>
  <si>
    <t>Hurtado, Ruth</t>
  </si>
  <si>
    <t>Hurtado, Maximiliano</t>
  </si>
  <si>
    <t>Hube, Constanza</t>
  </si>
  <si>
    <t>Hoppe, Vanessa</t>
  </si>
  <si>
    <t>Henríquez, Natalia</t>
  </si>
  <si>
    <t>Harboe, Felipe</t>
  </si>
  <si>
    <t>Gómez, Yarela</t>
  </si>
  <si>
    <t>Gómez, Claudio</t>
  </si>
  <si>
    <t>Gutiérrez, Hugo</t>
  </si>
  <si>
    <t>Grandón, Paola</t>
  </si>
  <si>
    <t>Grandón, Giovanna</t>
  </si>
  <si>
    <t>González, Lidia</t>
  </si>
  <si>
    <t>González, Dayyana</t>
  </si>
  <si>
    <t>Godoy, Isabel</t>
  </si>
  <si>
    <t>Giustinianovich, Elisa</t>
  </si>
  <si>
    <t>Garín, Renato</t>
  </si>
  <si>
    <t>Galleguillos, Félix</t>
  </si>
  <si>
    <t>Gallardo, Bessy</t>
  </si>
  <si>
    <t>Fuchslocher, Javier</t>
  </si>
  <si>
    <t>Fontaine, Bernardo</t>
  </si>
  <si>
    <t>Flores, Alejandra</t>
  </si>
  <si>
    <t>Fernández, Patricio</t>
  </si>
  <si>
    <t>Dorador, Cristina</t>
  </si>
  <si>
    <t>Domínguez, Gaspar</t>
  </si>
  <si>
    <t>Delgado, Aurora</t>
  </si>
  <si>
    <t>De la Maza, Bernardo</t>
  </si>
  <si>
    <t>Daza, Mauricio</t>
  </si>
  <si>
    <t>Céspedes, Lorena</t>
  </si>
  <si>
    <t>Cubillos, Marcela</t>
  </si>
  <si>
    <t>Cruz, Andrés</t>
  </si>
  <si>
    <t>Cretton, Eduardo</t>
  </si>
  <si>
    <t>Cozzi, Ruggero</t>
  </si>
  <si>
    <t>Chinga, Eric</t>
  </si>
  <si>
    <t>Chahín, Fuad</t>
  </si>
  <si>
    <t>Celis, Raúl</t>
  </si>
  <si>
    <t>Celedón, Roberto</t>
  </si>
  <si>
    <t>Catrileo, Rosa</t>
  </si>
  <si>
    <t>Castro, Claudia</t>
  </si>
  <si>
    <t>Castillo, María Trinidad</t>
  </si>
  <si>
    <t>Castillo, Eduardo</t>
  </si>
  <si>
    <t>Carrillo, Alondra</t>
  </si>
  <si>
    <t>Cantuarias, Rocío</t>
  </si>
  <si>
    <t>Cancino, Adriana</t>
  </si>
  <si>
    <t>Calvo, Carlos</t>
  </si>
  <si>
    <t>Caiguan, Alexis</t>
  </si>
  <si>
    <t>Caamaño, Francisco</t>
  </si>
  <si>
    <t>Bravo, Daniel</t>
  </si>
  <si>
    <t>Bown, Carol</t>
  </si>
  <si>
    <t>Botto, Miguel Ángel</t>
  </si>
  <si>
    <t>Bassa, Jaime</t>
  </si>
  <si>
    <t>Barraza, Marcos</t>
  </si>
  <si>
    <t>Barceló, Luis</t>
  </si>
  <si>
    <t>Baranda, Benito</t>
  </si>
  <si>
    <t>Baradit, Jorge</t>
  </si>
  <si>
    <t>Bacian, Wilfredo</t>
  </si>
  <si>
    <t>Atria, Fernando</t>
  </si>
  <si>
    <t>Arrau, Martín</t>
  </si>
  <si>
    <t>Arellano, Marco</t>
  </si>
  <si>
    <t>Arauna, Francisca</t>
  </si>
  <si>
    <t>Arancibia, Jorge</t>
  </si>
  <si>
    <t>Antilef, Victorino</t>
  </si>
  <si>
    <t>Andrade, Cristóbal</t>
  </si>
  <si>
    <t>Ampuero, Adriana</t>
  </si>
  <si>
    <t>Alvez, Amaya</t>
  </si>
  <si>
    <t>Alvarez, Rodrigo</t>
  </si>
  <si>
    <t>Alvarez, Julio</t>
  </si>
  <si>
    <t>Alvarado, Gloria</t>
  </si>
  <si>
    <t>Aguilera, Tiare</t>
  </si>
  <si>
    <t>Achurra, Ignacio</t>
  </si>
  <si>
    <t>Abarca, Jorge</t>
  </si>
  <si>
    <t>Abarca, Damaris</t>
  </si>
  <si>
    <t>Informe Comisión</t>
  </si>
  <si>
    <t>NS Convencional por votación de informe de comisión</t>
  </si>
  <si>
    <t xml:space="preserve">Nominate Score General </t>
  </si>
  <si>
    <t>Partido</t>
  </si>
  <si>
    <t>Nº de Votaciones</t>
  </si>
  <si>
    <t>% votaciones Abstención</t>
  </si>
  <si>
    <t>Nº A Favor</t>
  </si>
  <si>
    <t>Nº En Contra</t>
  </si>
  <si>
    <t>Nº Abstención</t>
  </si>
  <si>
    <t>Nº No votó</t>
  </si>
  <si>
    <t>PARTIDO POLÍTICO</t>
  </si>
  <si>
    <t>NOMBRE CONVENCIONAL CONSTITUYENTE</t>
  </si>
  <si>
    <t xml:space="preserve">% votaciones        A Favor </t>
  </si>
  <si>
    <t>% votaciones      En Contra</t>
  </si>
  <si>
    <t>% votaciones      No Votó</t>
  </si>
  <si>
    <t>Normas Transitorias</t>
  </si>
  <si>
    <t>Armonización</t>
  </si>
  <si>
    <t>Preámbulo</t>
  </si>
  <si>
    <t>No participó</t>
  </si>
  <si>
    <t>Comisión de Participación y Consulta Indígena</t>
  </si>
  <si>
    <t>Comisión Provisoria de Comunicaciones, Información y Transparencia</t>
  </si>
  <si>
    <t>Comisión Provisoria de Descentralización, Equidad y Justicia Territorial</t>
  </si>
  <si>
    <t>Comisión de Reglamentos</t>
  </si>
  <si>
    <t>Comunicaciones, Información y Transparencia</t>
  </si>
  <si>
    <t>Comisión de Participación Popular y Equidad Territorial</t>
  </si>
  <si>
    <t>COMISIÓN DE SISTEMATIZACIÓN</t>
  </si>
  <si>
    <t>Comisión de Participación Popular y Equidad Territorial.</t>
  </si>
  <si>
    <t>CAMBIO</t>
  </si>
  <si>
    <t>Comisión de Presupuestos y Administración Interior</t>
  </si>
  <si>
    <t>Comisión de Ética</t>
  </si>
  <si>
    <t>Comisión de Comunicaciones, Información y Transparencia.</t>
  </si>
  <si>
    <t>Comisión de Descentralización, Equidad y Justicia Territorial.</t>
  </si>
  <si>
    <t>CAROLINA ANDREA SEPÚLVEDA SEPÚLVEDA</t>
  </si>
  <si>
    <t>COMISIONES DE REGLAMENTOS DE LA CONVENCIÓN</t>
  </si>
  <si>
    <t>Comisión de Derechos Humanos, Verdad Histórica y Bases para la Justicia, Reparación y Garantías de no Repetición</t>
  </si>
  <si>
    <t>Presidenta de la Convención</t>
  </si>
  <si>
    <t>Vicepresidente de la Convención</t>
  </si>
  <si>
    <t>JORGE PATRICIO ARANCIBIA REYES</t>
  </si>
  <si>
    <t>Comisión de Comunicaciones, Información y Transparencia</t>
  </si>
  <si>
    <t xml:space="preserve">Comisión de DD.HH, Verdad Histórica para la Justicia, Reparación y Garantías de no Repetición </t>
  </si>
  <si>
    <t>CAMBIO DE PACTO DURANTE CONVENCIÓN</t>
  </si>
  <si>
    <t>PUEBLO CONSTITUYENTE</t>
  </si>
  <si>
    <t>MOVIMIENTO SOCIALES CONSTITUYENTES</t>
  </si>
  <si>
    <t>1er nombre</t>
  </si>
  <si>
    <t>2o nombre</t>
  </si>
  <si>
    <t>1er apellido</t>
  </si>
  <si>
    <t>2o apellido</t>
  </si>
  <si>
    <t>nombre completo</t>
  </si>
  <si>
    <t>minuscula</t>
  </si>
  <si>
    <t>apellido, nombre</t>
  </si>
  <si>
    <t>draft_apell</t>
  </si>
  <si>
    <t>draft_nombre</t>
  </si>
  <si>
    <t>arrumar_apellido</t>
  </si>
  <si>
    <t>arrumar_nombre</t>
  </si>
  <si>
    <t>1er apell</t>
  </si>
  <si>
    <t>1er nombr</t>
  </si>
  <si>
    <t>count</t>
  </si>
  <si>
    <t>check</t>
  </si>
  <si>
    <t>DE LA MAZA</t>
  </si>
  <si>
    <t>BERNARDO</t>
  </si>
  <si>
    <t>ARTURO</t>
  </si>
  <si>
    <t>DE</t>
  </si>
  <si>
    <t>LA</t>
  </si>
  <si>
    <t>BAÑADOS</t>
  </si>
  <si>
    <t>ADRIANA</t>
  </si>
  <si>
    <t>JANET</t>
  </si>
  <si>
    <t>CANCINO</t>
  </si>
  <si>
    <t>MENESES</t>
  </si>
  <si>
    <t>AGUSTÍN</t>
  </si>
  <si>
    <t>SQUELLA</t>
  </si>
  <si>
    <t>NARDUCCI</t>
  </si>
  <si>
    <t>id</t>
  </si>
  <si>
    <t>BEATRIZ</t>
  </si>
  <si>
    <t>SÁNCHEZ</t>
  </si>
  <si>
    <t>MUÑOZ</t>
  </si>
  <si>
    <t>BESSY</t>
  </si>
  <si>
    <t>MIREYA</t>
  </si>
  <si>
    <t>DEL</t>
  </si>
  <si>
    <t>GALLARDO</t>
  </si>
  <si>
    <t>PRADO</t>
  </si>
  <si>
    <t>CONSTANZA</t>
  </si>
  <si>
    <t>ANDREA</t>
  </si>
  <si>
    <t>STANDEN</t>
  </si>
  <si>
    <t>SAN JUAN</t>
  </si>
  <si>
    <t>ELISA</t>
  </si>
  <si>
    <t>LONCÓN</t>
  </si>
  <si>
    <t>ANTILEO</t>
  </si>
  <si>
    <t>FERNANDO</t>
  </si>
  <si>
    <t>TIRADO</t>
  </si>
  <si>
    <t>SOTO</t>
  </si>
  <si>
    <t>DEL CARMEN</t>
  </si>
  <si>
    <t>GLORIA</t>
  </si>
  <si>
    <t>ALVARADO</t>
  </si>
  <si>
    <t>JORQUERA</t>
  </si>
  <si>
    <t>DEL TRÁNSITO</t>
  </si>
  <si>
    <t>JANIS</t>
  </si>
  <si>
    <t>PALMA</t>
  </si>
  <si>
    <t>JAN DEL CARMEN</t>
  </si>
  <si>
    <t>JOSÉ</t>
  </si>
  <si>
    <t>MARTIN</t>
  </si>
  <si>
    <t>BRAVO</t>
  </si>
  <si>
    <t>JUAN JOSÉ</t>
  </si>
  <si>
    <t>JULIO</t>
  </si>
  <si>
    <t>JOSE</t>
  </si>
  <si>
    <t>LUIS</t>
  </si>
  <si>
    <t>ALVAREZ</t>
  </si>
  <si>
    <t>PINTO</t>
  </si>
  <si>
    <t>LORENA</t>
  </si>
  <si>
    <t>CESPEDES</t>
  </si>
  <si>
    <t>FERNANDEZ</t>
  </si>
  <si>
    <t>DEL PILAR</t>
  </si>
  <si>
    <t>ALEJANDRO</t>
  </si>
  <si>
    <t>MAYOL</t>
  </si>
  <si>
    <t>BOUCHON</t>
  </si>
  <si>
    <t>NATIVIDAD</t>
  </si>
  <si>
    <t>LLANQUILEO</t>
  </si>
  <si>
    <t>PILQUIMAN</t>
  </si>
  <si>
    <t>POLLYANA</t>
  </si>
  <si>
    <t>RIVERA</t>
  </si>
  <si>
    <t>BIGAS</t>
  </si>
  <si>
    <t>DUENDY ALEJANDRA</t>
  </si>
  <si>
    <t>TERESA</t>
  </si>
  <si>
    <t>MARGARITA</t>
  </si>
  <si>
    <t>MARINOVIC</t>
  </si>
  <si>
    <t>VIAL</t>
  </si>
  <si>
    <t>TIARE</t>
  </si>
  <si>
    <t>AGUILERA</t>
  </si>
  <si>
    <t>HEY</t>
  </si>
  <si>
    <t>MARGARITA NATALIA</t>
  </si>
  <si>
    <t>MAEVA CAROLINA</t>
  </si>
  <si>
    <t>sin acento</t>
  </si>
  <si>
    <t>sin accento</t>
  </si>
  <si>
    <t>ALFREDO</t>
  </si>
  <si>
    <t>MORENO</t>
  </si>
  <si>
    <t>ALONDRA</t>
  </si>
  <si>
    <t>CARRILLO</t>
  </si>
  <si>
    <t>VIDAL</t>
  </si>
  <si>
    <t>BÁRBARA</t>
  </si>
  <si>
    <t>SEPÚLVEDA</t>
  </si>
  <si>
    <t>HALES</t>
  </si>
  <si>
    <t>FONTAINE</t>
  </si>
  <si>
    <t>TALAVERA</t>
  </si>
  <si>
    <t>CRISTIÁN</t>
  </si>
  <si>
    <t>MONCKEBERG</t>
  </si>
  <si>
    <t>BRUNER</t>
  </si>
  <si>
    <t>DAMARIS</t>
  </si>
  <si>
    <t>GONZÁLEZ</t>
  </si>
  <si>
    <t>ABARCA</t>
  </si>
  <si>
    <t>FELIPE</t>
  </si>
  <si>
    <t>HARBOE</t>
  </si>
  <si>
    <t>BASCUÑAN</t>
  </si>
  <si>
    <t>ATRIA</t>
  </si>
  <si>
    <t>LEMAITRE</t>
  </si>
  <si>
    <t>FRANCISCA</t>
  </si>
  <si>
    <t>LINCONAO</t>
  </si>
  <si>
    <t>HUIRCAPÁN</t>
  </si>
  <si>
    <t>HERNÁN</t>
  </si>
  <si>
    <t>LARRAÍN</t>
  </si>
  <si>
    <t>MATTE</t>
  </si>
  <si>
    <t>ZUÑIGA</t>
  </si>
  <si>
    <t>JORY</t>
  </si>
  <si>
    <t>LUIS ARTURO</t>
  </si>
  <si>
    <t>MALUCHA</t>
  </si>
  <si>
    <t>SOLARI</t>
  </si>
  <si>
    <t>MANUELA</t>
  </si>
  <si>
    <t>ROYO</t>
  </si>
  <si>
    <t>LETELIER</t>
  </si>
  <si>
    <t>MARCELA</t>
  </si>
  <si>
    <t>CUBILLOS</t>
  </si>
  <si>
    <t>SIGALL</t>
  </si>
  <si>
    <t>TEPPER</t>
  </si>
  <si>
    <t>KOLOSSA</t>
  </si>
  <si>
    <t>MARÍA ANGÉLICA</t>
  </si>
  <si>
    <t>UBILLA</t>
  </si>
  <si>
    <t>PÉREZ</t>
  </si>
  <si>
    <t>MARÍA CECILIA</t>
  </si>
  <si>
    <t>QUINTEROS</t>
  </si>
  <si>
    <t>CACERES</t>
  </si>
  <si>
    <t>MARIA ELISA</t>
  </si>
  <si>
    <t>OYARZUN</t>
  </si>
  <si>
    <t>SOLIS</t>
  </si>
  <si>
    <t>MARIA JOSE</t>
  </si>
  <si>
    <t>IRIBARREN</t>
  </si>
  <si>
    <t>MARIA MAGDALENA</t>
  </si>
  <si>
    <t>REYES</t>
  </si>
  <si>
    <t>PAINEQUEO</t>
  </si>
  <si>
    <t>MARIA RAMONA</t>
  </si>
  <si>
    <t>CASTILLO</t>
  </si>
  <si>
    <t>BOILET</t>
  </si>
  <si>
    <t>MARIA TRINIDAD</t>
  </si>
  <si>
    <t>BOTTO</t>
  </si>
  <si>
    <t>SALINAS</t>
  </si>
  <si>
    <t>MIGUEL ÁNGEL</t>
  </si>
  <si>
    <t>LORETO</t>
  </si>
  <si>
    <t>HERNANDEZ</t>
  </si>
  <si>
    <t>CORTÉS</t>
  </si>
  <si>
    <t>MARTÍN</t>
  </si>
  <si>
    <t>ARRAU</t>
  </si>
  <si>
    <t>GARCÍA-HUIDOBRO</t>
  </si>
  <si>
    <t>apellido_nombre</t>
  </si>
  <si>
    <t>edad</t>
  </si>
  <si>
    <t>sexo</t>
  </si>
  <si>
    <t>distrito</t>
  </si>
  <si>
    <t>pactos</t>
  </si>
  <si>
    <t>id_pactos</t>
  </si>
  <si>
    <t>cambio_pacto</t>
  </si>
  <si>
    <t>pueblo_originario</t>
  </si>
  <si>
    <t>lista_convencion</t>
  </si>
  <si>
    <t>MISSING</t>
  </si>
  <si>
    <t>lista</t>
  </si>
  <si>
    <t>COMUNISTA</t>
  </si>
  <si>
    <t>CHILE</t>
  </si>
  <si>
    <t>CONVERGENCIA</t>
  </si>
  <si>
    <t>SOCIAL</t>
  </si>
  <si>
    <t>DEMOCRATA</t>
  </si>
  <si>
    <t>CRISTIANO</t>
  </si>
  <si>
    <t>EVOLUCION</t>
  </si>
  <si>
    <t>POLITICA</t>
  </si>
  <si>
    <t>FEDERACION</t>
  </si>
  <si>
    <t>REGIONALISTA</t>
  </si>
  <si>
    <t>VERDE</t>
  </si>
  <si>
    <t>COMUNES</t>
  </si>
  <si>
    <t>IGUALDAD</t>
  </si>
  <si>
    <t>LIBERAL</t>
  </si>
  <si>
    <t>POR</t>
  </si>
  <si>
    <t>DEMOCRACIA</t>
  </si>
  <si>
    <t>PROGRESISTA</t>
  </si>
  <si>
    <t>RADICAL</t>
  </si>
  <si>
    <t>RENOVACION</t>
  </si>
  <si>
    <t>NACIONAL</t>
  </si>
  <si>
    <t>REVOLUCION</t>
  </si>
  <si>
    <t>DEMOCRATICA</t>
  </si>
  <si>
    <t>SOCIALISTA</t>
  </si>
  <si>
    <t>UNION</t>
  </si>
  <si>
    <t>partido</t>
  </si>
  <si>
    <t>tipo partido o independ</t>
  </si>
  <si>
    <t>dummy_partido</t>
  </si>
  <si>
    <t>tag_partido</t>
  </si>
  <si>
    <t>nombre_completo</t>
  </si>
  <si>
    <t>CS</t>
  </si>
  <si>
    <t>DC</t>
  </si>
  <si>
    <t>EVOPOLI</t>
  </si>
  <si>
    <t>FRVS</t>
  </si>
  <si>
    <t>PPD</t>
  </si>
  <si>
    <t>RN</t>
  </si>
  <si>
    <t>RD</t>
  </si>
  <si>
    <t>UDI</t>
  </si>
  <si>
    <t>id_lista</t>
  </si>
  <si>
    <t>id_alt_partidos</t>
  </si>
  <si>
    <t>PS</t>
  </si>
  <si>
    <t>millabur, adolfo</t>
  </si>
  <si>
    <t>ampuero, adriana</t>
  </si>
  <si>
    <t>cancino, adriana</t>
  </si>
  <si>
    <t>squella, agustin</t>
  </si>
  <si>
    <t>flores, alejandra</t>
  </si>
  <si>
    <t>perez, alejandra</t>
  </si>
  <si>
    <t>caiguan, alexis</t>
  </si>
  <si>
    <t>moreno, alfredo</t>
  </si>
  <si>
    <t>carrillo, alondra</t>
  </si>
  <si>
    <t>jofre, alvaro</t>
  </si>
  <si>
    <t>saldana, alvin</t>
  </si>
  <si>
    <t>alvez, amaya</t>
  </si>
  <si>
    <t>cruz, andres</t>
  </si>
  <si>
    <t>delgado, aurora</t>
  </si>
  <si>
    <t>rebolledo, barbara</t>
  </si>
  <si>
    <t>sepulveda, barbara</t>
  </si>
  <si>
    <t>labbe, bastian</t>
  </si>
  <si>
    <t>sanchez, beatriz</t>
  </si>
  <si>
    <t>baranda, benito</t>
  </si>
  <si>
    <t>de la maza, bernardo</t>
  </si>
  <si>
    <t>fontaine, bernardo</t>
  </si>
  <si>
    <t>gallardo, bessy</t>
  </si>
  <si>
    <t>zarate, camila</t>
  </si>
  <si>
    <t>calvo, carlos</t>
  </si>
  <si>
    <t>arrau, martin</t>
  </si>
  <si>
    <t>bown, carol</t>
  </si>
  <si>
    <t>sepulveda, carolina</t>
  </si>
  <si>
    <t>vilches, carolina</t>
  </si>
  <si>
    <t>videla, carolina</t>
  </si>
  <si>
    <t>valenzuela, cesar</t>
  </si>
  <si>
    <t>uribe, cesar</t>
  </si>
  <si>
    <t>viera, christian</t>
  </si>
  <si>
    <t>castro, claudia</t>
  </si>
  <si>
    <t>letelier, margarita</t>
  </si>
  <si>
    <t>gomez, claudio</t>
  </si>
  <si>
    <t>san juan, constanza</t>
  </si>
  <si>
    <t>schonhaut, constanza</t>
  </si>
  <si>
    <t>hube, constanza</t>
  </si>
  <si>
    <t>monckeberg, cristian</t>
  </si>
  <si>
    <t>dorador, cristina</t>
  </si>
  <si>
    <t>andrade, cristobal</t>
  </si>
  <si>
    <t>abarca, damaris</t>
  </si>
  <si>
    <t>bravo, daniel</t>
  </si>
  <si>
    <t>stingo, daniel</t>
  </si>
  <si>
    <t>gonzalez, dayyana</t>
  </si>
  <si>
    <t>cretton, eduardo</t>
  </si>
  <si>
    <t>castillo, eduardo</t>
  </si>
  <si>
    <t>giustinianovich, elisa</t>
  </si>
  <si>
    <t>loncon, elisa</t>
  </si>
  <si>
    <t>labrana, elsa</t>
  </si>
  <si>
    <t>chinga, eric</t>
  </si>
  <si>
    <t>portilla, ericka</t>
  </si>
  <si>
    <t>harboe, felipe</t>
  </si>
  <si>
    <t>mena, felipe</t>
  </si>
  <si>
    <t>galleguillos, felix</t>
  </si>
  <si>
    <t>atria, fernando</t>
  </si>
  <si>
    <t>salinas, fernando</t>
  </si>
  <si>
    <t>tirado, fernando</t>
  </si>
  <si>
    <t>linconao, francisca</t>
  </si>
  <si>
    <t>arauna, francisca</t>
  </si>
  <si>
    <t>caamano, francisco</t>
  </si>
  <si>
    <t>chahin, fuad</t>
  </si>
  <si>
    <t>dominguez, gaspar</t>
  </si>
  <si>
    <t>navarrete, geoconda</t>
  </si>
  <si>
    <t>roa, giovanna</t>
  </si>
  <si>
    <t>grandon, giovanna</t>
  </si>
  <si>
    <t>alvarado, gloria</t>
  </si>
  <si>
    <t>namor, guillermo</t>
  </si>
  <si>
    <t>jurgensen, harry</t>
  </si>
  <si>
    <t>martinez, helmuth</t>
  </si>
  <si>
    <t>velasquez, hernan</t>
  </si>
  <si>
    <t>larrain, hernan</t>
  </si>
  <si>
    <t>gutierrez, hugo</t>
  </si>
  <si>
    <t>achurra, ignacio</t>
  </si>
  <si>
    <t>villena, ingrid</t>
  </si>
  <si>
    <t>godoy, isabel</t>
  </si>
  <si>
    <t>mamani, isabella</t>
  </si>
  <si>
    <t>olivares, ivanna</t>
  </si>
  <si>
    <t>bassa, jaime</t>
  </si>
  <si>
    <t>meneses, janis</t>
  </si>
  <si>
    <t>fuchslocher, javier</t>
  </si>
  <si>
    <t>mella, jeniffer</t>
  </si>
  <si>
    <t>abarca, jorge</t>
  </si>
  <si>
    <t>baradit, jorge</t>
  </si>
  <si>
    <t>arancibia, jorge</t>
  </si>
  <si>
    <t>martin, juan jose</t>
  </si>
  <si>
    <t>alvarez, julio</t>
  </si>
  <si>
    <t>montealegre, katerine</t>
  </si>
  <si>
    <t>gonzalez, lidia</t>
  </si>
  <si>
    <t>vergara, lisette</t>
  </si>
  <si>
    <t>cespedes, lorena</t>
  </si>
  <si>
    <t>vallejos, loreto</t>
  </si>
  <si>
    <t>silva, luciano</t>
  </si>
  <si>
    <t>jimenez, luis</t>
  </si>
  <si>
    <t>mayol, luis</t>
  </si>
  <si>
    <t>zuniga, luis arturo</t>
  </si>
  <si>
    <t>barcelo, luis</t>
  </si>
  <si>
    <t>pinto, malucha</t>
  </si>
  <si>
    <t>ossandon, manuel</t>
  </si>
  <si>
    <t>woldarsky, manuel</t>
  </si>
  <si>
    <t>royo, manuela</t>
  </si>
  <si>
    <t>cubillos, marcela</t>
  </si>
  <si>
    <t>arellano, marco</t>
  </si>
  <si>
    <t>barraza, marcos</t>
  </si>
  <si>
    <t>vargas, margarita</t>
  </si>
  <si>
    <t>tepper, maria angelica</t>
  </si>
  <si>
    <t>ubilla, maria cecilia</t>
  </si>
  <si>
    <t>quinteros, maria elisa</t>
  </si>
  <si>
    <t>oyarzun, maria jose</t>
  </si>
  <si>
    <t>rivera, maria magdalena</t>
  </si>
  <si>
    <t>reyes, maria ramona</t>
  </si>
  <si>
    <t>castillo, maria trinidad</t>
  </si>
  <si>
    <t>serey, mariela</t>
  </si>
  <si>
    <t>vargas, mario</t>
  </si>
  <si>
    <t>orellana, matias</t>
  </si>
  <si>
    <t>daza, mauricio</t>
  </si>
  <si>
    <t>hurtado, maximiliano</t>
  </si>
  <si>
    <t>botto, miguel angel</t>
  </si>
  <si>
    <t>henriquez, natalia</t>
  </si>
  <si>
    <t>llanquileo, natividad</t>
  </si>
  <si>
    <t>nunez, nicolas</t>
  </si>
  <si>
    <t>toloza, pablo</t>
  </si>
  <si>
    <t>grandon, paola</t>
  </si>
  <si>
    <t>labra, patricia</t>
  </si>
  <si>
    <t>politzer, patricia</t>
  </si>
  <si>
    <t>fernandez, patricio</t>
  </si>
  <si>
    <t>veloso, paulina</t>
  </si>
  <si>
    <t>valenzuela, paulina</t>
  </si>
  <si>
    <t>munoz, pedro</t>
  </si>
  <si>
    <t>rivera, pollyana</t>
  </si>
  <si>
    <t>celis, raul</t>
  </si>
  <si>
    <t>garin, renato</t>
  </si>
  <si>
    <t>neumann, ricardo</t>
  </si>
  <si>
    <t>montero, ricardo</t>
  </si>
  <si>
    <t>celedon, roberto</t>
  </si>
  <si>
    <t>vega, roberto</t>
  </si>
  <si>
    <t>cantuarias, rocio</t>
  </si>
  <si>
    <t>alvarez, rodrigo</t>
  </si>
  <si>
    <t>logan, rodrigo</t>
  </si>
  <si>
    <t>catrileo, rosa</t>
  </si>
  <si>
    <t>vidal, loreto</t>
  </si>
  <si>
    <t>cozzi, ruggero</t>
  </si>
  <si>
    <t>hurtado, ruth</t>
  </si>
  <si>
    <t>pustilnick, tammy</t>
  </si>
  <si>
    <t>madriaga, tania</t>
  </si>
  <si>
    <t>urrutia, tatiana</t>
  </si>
  <si>
    <t>marinovic, teresa</t>
  </si>
  <si>
    <t>aguilera, tiare</t>
  </si>
  <si>
    <t>laibe, tomas</t>
  </si>
  <si>
    <t>miranda, valentina</t>
  </si>
  <si>
    <t>hoppe, vanessa</t>
  </si>
  <si>
    <t>antilef, victorino</t>
  </si>
  <si>
    <t>bacian, wilfredo</t>
  </si>
  <si>
    <t>gomez, yarela</t>
  </si>
  <si>
    <t>rojas, rodrigo</t>
  </si>
  <si>
    <r>
      <rPr>
        <b/>
        <sz val="10"/>
        <rFont val="Times New Roman"/>
        <family val="1"/>
      </rPr>
      <t>Independientes no partidarios</t>
    </r>
  </si>
  <si>
    <t>separa</t>
  </si>
  <si>
    <t>organiza</t>
  </si>
  <si>
    <t>acento</t>
  </si>
  <si>
    <t>nombre_inp</t>
  </si>
  <si>
    <t>Adriana Ampuero</t>
  </si>
  <si>
    <t>Adriana</t>
  </si>
  <si>
    <t>Ampuero</t>
  </si>
  <si>
    <t>adriana</t>
  </si>
  <si>
    <t>ampuero</t>
  </si>
  <si>
    <t>Alejandra Flores</t>
  </si>
  <si>
    <t>Alejandra</t>
  </si>
  <si>
    <t>Flores</t>
  </si>
  <si>
    <t>alejandra</t>
  </si>
  <si>
    <t>flores</t>
  </si>
  <si>
    <t>Alejandra Pérez</t>
  </si>
  <si>
    <t>Pérez</t>
  </si>
  <si>
    <t>perez</t>
  </si>
  <si>
    <t>Alexis Caiguán</t>
  </si>
  <si>
    <t>Alexis</t>
  </si>
  <si>
    <t>Caiguán</t>
  </si>
  <si>
    <t>alexis</t>
  </si>
  <si>
    <t>caiguan</t>
  </si>
  <si>
    <t>Alondra Carrillo</t>
  </si>
  <si>
    <t>Alondra</t>
  </si>
  <si>
    <t>Carrillo</t>
  </si>
  <si>
    <t>alondra</t>
  </si>
  <si>
    <t>carrillo</t>
  </si>
  <si>
    <t>Alvin Saldaña</t>
  </si>
  <si>
    <t>Alvin</t>
  </si>
  <si>
    <t>Saldaña</t>
  </si>
  <si>
    <t>alvin</t>
  </si>
  <si>
    <t>saldana</t>
  </si>
  <si>
    <t>Bastián Labbé Salazar</t>
  </si>
  <si>
    <t>Bastián</t>
  </si>
  <si>
    <t>Labbé</t>
  </si>
  <si>
    <t>bastian</t>
  </si>
  <si>
    <t>labbe</t>
  </si>
  <si>
    <t>Benito Baranda</t>
  </si>
  <si>
    <t>Benito</t>
  </si>
  <si>
    <t>Baranda</t>
  </si>
  <si>
    <t>benito</t>
  </si>
  <si>
    <t>baranda</t>
  </si>
  <si>
    <t>Camila Zárate</t>
  </si>
  <si>
    <t>Camila</t>
  </si>
  <si>
    <t>Zárate</t>
  </si>
  <si>
    <t>camila</t>
  </si>
  <si>
    <t>zarate</t>
  </si>
  <si>
    <t>Carolina Sepúlveda</t>
  </si>
  <si>
    <t>Carolina</t>
  </si>
  <si>
    <t>Sepúlveda</t>
  </si>
  <si>
    <t>carolina</t>
  </si>
  <si>
    <t>sepulveda</t>
  </si>
  <si>
    <t>César Uribe</t>
  </si>
  <si>
    <t>César</t>
  </si>
  <si>
    <t>Uribe</t>
  </si>
  <si>
    <t>cesar</t>
  </si>
  <si>
    <t>uribe</t>
  </si>
  <si>
    <t>Constanza San Juan</t>
  </si>
  <si>
    <t>Constanza</t>
  </si>
  <si>
    <t>San Juan</t>
  </si>
  <si>
    <t>constanza</t>
  </si>
  <si>
    <t>san juan</t>
  </si>
  <si>
    <t>Cristina Dorador</t>
  </si>
  <si>
    <t>Cristina</t>
  </si>
  <si>
    <t>Dorador</t>
  </si>
  <si>
    <t>cristina</t>
  </si>
  <si>
    <t>dorador</t>
  </si>
  <si>
    <t>Dayyana González</t>
  </si>
  <si>
    <t>Dayyana</t>
  </si>
  <si>
    <t>González</t>
  </si>
  <si>
    <t>dayyana</t>
  </si>
  <si>
    <t>gonzalez</t>
  </si>
  <si>
    <t>Elisa Giustinianovich</t>
  </si>
  <si>
    <t>Elisa</t>
  </si>
  <si>
    <t>Giustinianovich</t>
  </si>
  <si>
    <t>elisa</t>
  </si>
  <si>
    <t>giustinianovich</t>
  </si>
  <si>
    <t>Elisa Loncón</t>
  </si>
  <si>
    <t>Loncón</t>
  </si>
  <si>
    <t>loncon</t>
  </si>
  <si>
    <t>Elsa Labraña</t>
  </si>
  <si>
    <t>Elsa</t>
  </si>
  <si>
    <t>Labraña</t>
  </si>
  <si>
    <t>elsa</t>
  </si>
  <si>
    <t>labrana</t>
  </si>
  <si>
    <t>Eric Chinga</t>
  </si>
  <si>
    <t>Eric</t>
  </si>
  <si>
    <t>Chinga</t>
  </si>
  <si>
    <t>eric</t>
  </si>
  <si>
    <t>chinga</t>
  </si>
  <si>
    <t>Félix Galleguillos</t>
  </si>
  <si>
    <t>Félix</t>
  </si>
  <si>
    <t>Galleguillos</t>
  </si>
  <si>
    <t>felix</t>
  </si>
  <si>
    <t>galleguillos</t>
  </si>
  <si>
    <t>Fernando Salinas</t>
  </si>
  <si>
    <t>Fernando</t>
  </si>
  <si>
    <t>Salinas</t>
  </si>
  <si>
    <t>fernando</t>
  </si>
  <si>
    <t>salinas</t>
  </si>
  <si>
    <t>Francisca Arauna</t>
  </si>
  <si>
    <t>Francisca</t>
  </si>
  <si>
    <t>Arauna</t>
  </si>
  <si>
    <t>francisca</t>
  </si>
  <si>
    <t>arauna</t>
  </si>
  <si>
    <t>Francisca Linconao</t>
  </si>
  <si>
    <t>Linconao</t>
  </si>
  <si>
    <t>linconao</t>
  </si>
  <si>
    <t>Francisco Caamaño</t>
  </si>
  <si>
    <t>Francisco</t>
  </si>
  <si>
    <t>Caamaño</t>
  </si>
  <si>
    <t>francisco</t>
  </si>
  <si>
    <t>caamano</t>
  </si>
  <si>
    <t>Gaspar Domínguez Donoso</t>
  </si>
  <si>
    <t>Gaspar</t>
  </si>
  <si>
    <t>Domínguez</t>
  </si>
  <si>
    <t>gaspar</t>
  </si>
  <si>
    <t>dominguez</t>
  </si>
  <si>
    <t>Giovanna Grandón</t>
  </si>
  <si>
    <t>Giovanna</t>
  </si>
  <si>
    <t>Grandón</t>
  </si>
  <si>
    <t>giovanna</t>
  </si>
  <si>
    <t>grandon</t>
  </si>
  <si>
    <t>Gloria Alvarado</t>
  </si>
  <si>
    <t>Gloria</t>
  </si>
  <si>
    <t>Alvarado</t>
  </si>
  <si>
    <t>gloria</t>
  </si>
  <si>
    <t>alvarado</t>
  </si>
  <si>
    <t>Guillermo Namor Kong</t>
  </si>
  <si>
    <t>Guillermo</t>
  </si>
  <si>
    <t>Namor</t>
  </si>
  <si>
    <t>guillermo</t>
  </si>
  <si>
    <t>namor</t>
  </si>
  <si>
    <t>Ingrid Villena</t>
  </si>
  <si>
    <t>Ingrid</t>
  </si>
  <si>
    <t>Villena</t>
  </si>
  <si>
    <t>ingrid</t>
  </si>
  <si>
    <t>villena</t>
  </si>
  <si>
    <t>Isabel Godoy</t>
  </si>
  <si>
    <t>Isabel</t>
  </si>
  <si>
    <t>Godoy</t>
  </si>
  <si>
    <t>isabel</t>
  </si>
  <si>
    <t>godoy</t>
  </si>
  <si>
    <t>Isabella Mamani</t>
  </si>
  <si>
    <t>Isabella</t>
  </si>
  <si>
    <t>Mamani</t>
  </si>
  <si>
    <t>isabella</t>
  </si>
  <si>
    <t>mamani</t>
  </si>
  <si>
    <t>Ivanna Olivares</t>
  </si>
  <si>
    <t>Ivanna</t>
  </si>
  <si>
    <t>Olivares</t>
  </si>
  <si>
    <t>ivanna</t>
  </si>
  <si>
    <t>olivares</t>
  </si>
  <si>
    <t>Javier Fuchslocher Baeza</t>
  </si>
  <si>
    <t>Javier</t>
  </si>
  <si>
    <t>Fuchslocher</t>
  </si>
  <si>
    <t>javier</t>
  </si>
  <si>
    <t>fuchslocher</t>
  </si>
  <si>
    <t>Juan José Martín</t>
  </si>
  <si>
    <t>Juan José</t>
  </si>
  <si>
    <t>Martín</t>
  </si>
  <si>
    <t>juan jose</t>
  </si>
  <si>
    <t>martin</t>
  </si>
  <si>
    <t>Lisette Vergara</t>
  </si>
  <si>
    <t>Lisette</t>
  </si>
  <si>
    <t>Vergara</t>
  </si>
  <si>
    <t>lisette</t>
  </si>
  <si>
    <t>vergara</t>
  </si>
  <si>
    <t>Lorena Céspedes Fernández</t>
  </si>
  <si>
    <t>Lorena</t>
  </si>
  <si>
    <t>Céspedes</t>
  </si>
  <si>
    <t>lorena</t>
  </si>
  <si>
    <t>cespedes</t>
  </si>
  <si>
    <t>Loreto Vallejos</t>
  </si>
  <si>
    <t>Loreto</t>
  </si>
  <si>
    <t>Vallejos</t>
  </si>
  <si>
    <t>loreto</t>
  </si>
  <si>
    <t>vallejos</t>
  </si>
  <si>
    <t>Loreto Vidal Hernández</t>
  </si>
  <si>
    <t>Vidal</t>
  </si>
  <si>
    <t>vidal</t>
  </si>
  <si>
    <t>Luis Jiménez</t>
  </si>
  <si>
    <t>Luis</t>
  </si>
  <si>
    <t>Jiménez</t>
  </si>
  <si>
    <t>luis</t>
  </si>
  <si>
    <t>jimenez</t>
  </si>
  <si>
    <t>Manuel Woldarsky</t>
  </si>
  <si>
    <t>Manuel</t>
  </si>
  <si>
    <t>Woldarsky</t>
  </si>
  <si>
    <t>manuel</t>
  </si>
  <si>
    <t>woldarsky</t>
  </si>
  <si>
    <t>Marco</t>
  </si>
  <si>
    <t>marco</t>
  </si>
  <si>
    <t>María Elisa Quinteros</t>
  </si>
  <si>
    <t>María Elisa</t>
  </si>
  <si>
    <t>Quinteros</t>
  </si>
  <si>
    <t>maria elisa</t>
  </si>
  <si>
    <t>quinteros</t>
  </si>
  <si>
    <t>María Trinidad Castillo</t>
  </si>
  <si>
    <t>María Trinidad</t>
  </si>
  <si>
    <t>Castillo</t>
  </si>
  <si>
    <t>maria trinidad</t>
  </si>
  <si>
    <t>castillo</t>
  </si>
  <si>
    <t>Mauricio Daza Carrasco</t>
  </si>
  <si>
    <t>Mauricio</t>
  </si>
  <si>
    <t>Daza</t>
  </si>
  <si>
    <t>mauricio</t>
  </si>
  <si>
    <t>daza</t>
  </si>
  <si>
    <t>Miguel Botto</t>
  </si>
  <si>
    <t>Miguel</t>
  </si>
  <si>
    <t>Botto</t>
  </si>
  <si>
    <t>miguel</t>
  </si>
  <si>
    <t>botto</t>
  </si>
  <si>
    <t>Natalia Henríquez Carreño</t>
  </si>
  <si>
    <t>Natalia</t>
  </si>
  <si>
    <t>Henríquez</t>
  </si>
  <si>
    <t>natalia</t>
  </si>
  <si>
    <t>henriquez</t>
  </si>
  <si>
    <t>Natividad Llanquileo</t>
  </si>
  <si>
    <t>Natividad</t>
  </si>
  <si>
    <t>Llanquileo</t>
  </si>
  <si>
    <t>natividad</t>
  </si>
  <si>
    <t>llanquileo</t>
  </si>
  <si>
    <t>Patricia Politzer</t>
  </si>
  <si>
    <t>Patricia</t>
  </si>
  <si>
    <t>Politzer</t>
  </si>
  <si>
    <t>patricia</t>
  </si>
  <si>
    <t>politzer</t>
  </si>
  <si>
    <t>Paulina Valenzuela</t>
  </si>
  <si>
    <t>Paulina</t>
  </si>
  <si>
    <t>Valenzuela</t>
  </si>
  <si>
    <t>paulina</t>
  </si>
  <si>
    <t>valenzuela</t>
  </si>
  <si>
    <t>Rodrigo Logan</t>
  </si>
  <si>
    <t>Rodrigo</t>
  </si>
  <si>
    <t>Logan</t>
  </si>
  <si>
    <t>rodrigo</t>
  </si>
  <si>
    <t>logan</t>
  </si>
  <si>
    <t>Rodrigo Rojas</t>
  </si>
  <si>
    <t>Rojas</t>
  </si>
  <si>
    <t>rojas</t>
  </si>
  <si>
    <t>Rosa Catrileo</t>
  </si>
  <si>
    <t>Rosa</t>
  </si>
  <si>
    <t>Catrileo</t>
  </si>
  <si>
    <t>rosa</t>
  </si>
  <si>
    <t>catrileo</t>
  </si>
  <si>
    <t>Tammy Pustilnick Arditi</t>
  </si>
  <si>
    <t>Tammy</t>
  </si>
  <si>
    <t>Pustilnick</t>
  </si>
  <si>
    <t>tammy</t>
  </si>
  <si>
    <t>pustilnick</t>
  </si>
  <si>
    <t>Tiare Aguilera</t>
  </si>
  <si>
    <t>Tiare</t>
  </si>
  <si>
    <t>Aguilera</t>
  </si>
  <si>
    <t>tiare</t>
  </si>
  <si>
    <t>aguilera</t>
  </si>
  <si>
    <t>Victorino Antilef</t>
  </si>
  <si>
    <t>Victorino</t>
  </si>
  <si>
    <t>Antilef</t>
  </si>
  <si>
    <t>victorino</t>
  </si>
  <si>
    <t>antilef</t>
  </si>
  <si>
    <t>Wilfredo</t>
  </si>
  <si>
    <t>wilfredo</t>
  </si>
  <si>
    <t>id_inp</t>
  </si>
  <si>
    <t>arellano</t>
  </si>
  <si>
    <t>Arellano</t>
  </si>
  <si>
    <t>Marco Arellano</t>
  </si>
  <si>
    <t>Wilfredo Bacián</t>
  </si>
  <si>
    <t>Bacián</t>
  </si>
  <si>
    <t>bacian</t>
  </si>
  <si>
    <t>Independientes partidarios</t>
  </si>
  <si>
    <t>dividir</t>
  </si>
  <si>
    <t>nombre_ip</t>
  </si>
  <si>
    <t>Adolfo Millabur</t>
  </si>
  <si>
    <t>Adolfo</t>
  </si>
  <si>
    <t>Millabur</t>
  </si>
  <si>
    <t>adolfo</t>
  </si>
  <si>
    <t>millabur</t>
  </si>
  <si>
    <t>Adriana Cancino</t>
  </si>
  <si>
    <t>Cancino</t>
  </si>
  <si>
    <t>cancino</t>
  </si>
  <si>
    <t>Agustín Squella</t>
  </si>
  <si>
    <t>Agustín</t>
  </si>
  <si>
    <t>Squella</t>
  </si>
  <si>
    <t>agustin</t>
  </si>
  <si>
    <t>squella</t>
  </si>
  <si>
    <t>Alfredo Moreno</t>
  </si>
  <si>
    <t>Alfredo</t>
  </si>
  <si>
    <t>Moreno</t>
  </si>
  <si>
    <t>alfredo</t>
  </si>
  <si>
    <t>moreno</t>
  </si>
  <si>
    <t>Andrés Cruz</t>
  </si>
  <si>
    <t>Andrés</t>
  </si>
  <si>
    <t>Cruz</t>
  </si>
  <si>
    <t>andres</t>
  </si>
  <si>
    <t>cruz</t>
  </si>
  <si>
    <t>Aurora Delgado</t>
  </si>
  <si>
    <t>Aurora</t>
  </si>
  <si>
    <t>Delgado</t>
  </si>
  <si>
    <t>aurora</t>
  </si>
  <si>
    <t>delgado</t>
  </si>
  <si>
    <t>Bárbara Rebolledo</t>
  </si>
  <si>
    <t>Bárbara</t>
  </si>
  <si>
    <t>Rebolledo</t>
  </si>
  <si>
    <t>barbara</t>
  </si>
  <si>
    <t>rebolledo</t>
  </si>
  <si>
    <t>Beatriz Sánchez</t>
  </si>
  <si>
    <t>Beatriz</t>
  </si>
  <si>
    <t>Sánchez</t>
  </si>
  <si>
    <t>beatriz</t>
  </si>
  <si>
    <t>sanchez</t>
  </si>
  <si>
    <t>Bernardo de la Maza</t>
  </si>
  <si>
    <t>Bernardo</t>
  </si>
  <si>
    <t>de la Maza</t>
  </si>
  <si>
    <t>bernardo</t>
  </si>
  <si>
    <t>de la maza</t>
  </si>
  <si>
    <t>Bernardo Fontaine</t>
  </si>
  <si>
    <t>Fontaine</t>
  </si>
  <si>
    <t>fontaine</t>
  </si>
  <si>
    <t>Bessy Gallardo</t>
  </si>
  <si>
    <t>Bessy</t>
  </si>
  <si>
    <t>Gallardo</t>
  </si>
  <si>
    <t>bessy</t>
  </si>
  <si>
    <t>gallardo</t>
  </si>
  <si>
    <t>Carlos Calvo</t>
  </si>
  <si>
    <t>Carlos</t>
  </si>
  <si>
    <t>Calvo</t>
  </si>
  <si>
    <t>carlos</t>
  </si>
  <si>
    <t>calvo</t>
  </si>
  <si>
    <t>Carolina Vilches</t>
  </si>
  <si>
    <t>Vilches</t>
  </si>
  <si>
    <t>vilches</t>
  </si>
  <si>
    <t>Claudia Castro</t>
  </si>
  <si>
    <t>Claudia</t>
  </si>
  <si>
    <t>Castro</t>
  </si>
  <si>
    <t>claudia</t>
  </si>
  <si>
    <t>castro</t>
  </si>
  <si>
    <t>Claudio Gómez</t>
  </si>
  <si>
    <t>Claudio</t>
  </si>
  <si>
    <t>Gómez</t>
  </si>
  <si>
    <t>claudio</t>
  </si>
  <si>
    <t>gomez</t>
  </si>
  <si>
    <t>Cristóbal Andrade</t>
  </si>
  <si>
    <t>Cristóbal</t>
  </si>
  <si>
    <t>Andrade</t>
  </si>
  <si>
    <t>cristobal</t>
  </si>
  <si>
    <t>andrade</t>
  </si>
  <si>
    <t>Christian Viera</t>
  </si>
  <si>
    <t>Christian</t>
  </si>
  <si>
    <t>Viera</t>
  </si>
  <si>
    <t>christian</t>
  </si>
  <si>
    <t>viera</t>
  </si>
  <si>
    <t>Damaris Abarca</t>
  </si>
  <si>
    <t>Damaris</t>
  </si>
  <si>
    <t>Abarca</t>
  </si>
  <si>
    <t>damaris</t>
  </si>
  <si>
    <t>abarca</t>
  </si>
  <si>
    <t>Daniel Bravo</t>
  </si>
  <si>
    <t>Daniel</t>
  </si>
  <si>
    <t>Bravo</t>
  </si>
  <si>
    <t>daniel</t>
  </si>
  <si>
    <t>bravo</t>
  </si>
  <si>
    <t>Daniel Stingo</t>
  </si>
  <si>
    <t>Stingo</t>
  </si>
  <si>
    <t>stingo</t>
  </si>
  <si>
    <t>Fernando Atria</t>
  </si>
  <si>
    <t>Atria</t>
  </si>
  <si>
    <t>atria</t>
  </si>
  <si>
    <t>Fernando Tirado</t>
  </si>
  <si>
    <t>Tirado</t>
  </si>
  <si>
    <t>tirado</t>
  </si>
  <si>
    <t>Helmuth Martínez</t>
  </si>
  <si>
    <t>Helmuth</t>
  </si>
  <si>
    <t>Martínez</t>
  </si>
  <si>
    <t>helmuth</t>
  </si>
  <si>
    <t>martinez</t>
  </si>
  <si>
    <t>Jaime Bassa</t>
  </si>
  <si>
    <t>Jaime</t>
  </si>
  <si>
    <t>Bassa</t>
  </si>
  <si>
    <t>jaime</t>
  </si>
  <si>
    <t>bassa</t>
  </si>
  <si>
    <t>Janis Meneses</t>
  </si>
  <si>
    <t>Janis</t>
  </si>
  <si>
    <t>Meneses</t>
  </si>
  <si>
    <t>janis</t>
  </si>
  <si>
    <t>meneses</t>
  </si>
  <si>
    <t>Jeniffer Mella</t>
  </si>
  <si>
    <t>Jeniffer</t>
  </si>
  <si>
    <t>Mella</t>
  </si>
  <si>
    <t>jeniffer</t>
  </si>
  <si>
    <t>mella</t>
  </si>
  <si>
    <t>Jorge Abarca</t>
  </si>
  <si>
    <t>Jorge</t>
  </si>
  <si>
    <t>jorge</t>
  </si>
  <si>
    <t>Jorge Arancibia</t>
  </si>
  <si>
    <t>Arancibia</t>
  </si>
  <si>
    <t>arancibia</t>
  </si>
  <si>
    <t>Jorge Baradit</t>
  </si>
  <si>
    <t>Baradit</t>
  </si>
  <si>
    <t>baradit</t>
  </si>
  <si>
    <t>Lidia González</t>
  </si>
  <si>
    <t>Lidia</t>
  </si>
  <si>
    <t>lidia</t>
  </si>
  <si>
    <t>Luis Barceló</t>
  </si>
  <si>
    <t>Barceló</t>
  </si>
  <si>
    <t>barcelo</t>
  </si>
  <si>
    <t>Manuel José Ossandón</t>
  </si>
  <si>
    <t>Ossandón</t>
  </si>
  <si>
    <t>ossandon</t>
  </si>
  <si>
    <t>Manuela Royo</t>
  </si>
  <si>
    <t>Manuela</t>
  </si>
  <si>
    <t>Royo</t>
  </si>
  <si>
    <t>manuela</t>
  </si>
  <si>
    <t>royo</t>
  </si>
  <si>
    <t>Marcela Cubillos</t>
  </si>
  <si>
    <t>Marcela</t>
  </si>
  <si>
    <t>Cubillos</t>
  </si>
  <si>
    <t>marcela</t>
  </si>
  <si>
    <t>cubillos</t>
  </si>
  <si>
    <t>María Angélica Tepper</t>
  </si>
  <si>
    <t>María Angélica</t>
  </si>
  <si>
    <t>Tepper</t>
  </si>
  <si>
    <t>maria angelica</t>
  </si>
  <si>
    <t>tepper</t>
  </si>
  <si>
    <t>María Cecilia Ubilla</t>
  </si>
  <si>
    <t>María Cecilia</t>
  </si>
  <si>
    <t>Ubilla</t>
  </si>
  <si>
    <t>maria cecilia</t>
  </si>
  <si>
    <t>ubilla</t>
  </si>
  <si>
    <t>María Magdalena Rivera</t>
  </si>
  <si>
    <t>María Magdalena</t>
  </si>
  <si>
    <t>Rivera</t>
  </si>
  <si>
    <t>maria magdalena</t>
  </si>
  <si>
    <t>rivera</t>
  </si>
  <si>
    <t>Mariela Serey</t>
  </si>
  <si>
    <t>Mariela</t>
  </si>
  <si>
    <t>Serey</t>
  </si>
  <si>
    <t>mariela</t>
  </si>
  <si>
    <t>serey</t>
  </si>
  <si>
    <t>Patricio Fernández</t>
  </si>
  <si>
    <t>Patricio</t>
  </si>
  <si>
    <t>Fernández</t>
  </si>
  <si>
    <t>patricio</t>
  </si>
  <si>
    <t>fernandez</t>
  </si>
  <si>
    <t>Pollyana Rivera</t>
  </si>
  <si>
    <t>Pollyana</t>
  </si>
  <si>
    <t>pollyana</t>
  </si>
  <si>
    <t>Renato Garín</t>
  </si>
  <si>
    <t>Renato</t>
  </si>
  <si>
    <t>Garín</t>
  </si>
  <si>
    <t>renato</t>
  </si>
  <si>
    <t>garin</t>
  </si>
  <si>
    <t>Ricardo Neumann</t>
  </si>
  <si>
    <t>Ricardo</t>
  </si>
  <si>
    <t>Neumann</t>
  </si>
  <si>
    <t>ricardo</t>
  </si>
  <si>
    <t>neumann</t>
  </si>
  <si>
    <t>Roberto Celedón</t>
  </si>
  <si>
    <t>Roberto</t>
  </si>
  <si>
    <t>Celedón</t>
  </si>
  <si>
    <t>roberto</t>
  </si>
  <si>
    <t>celedon</t>
  </si>
  <si>
    <t>Rocío Cantuarias</t>
  </si>
  <si>
    <t>Rocío</t>
  </si>
  <si>
    <t>Cantuarias</t>
  </si>
  <si>
    <t>rocio</t>
  </si>
  <si>
    <t>cantuarias</t>
  </si>
  <si>
    <t>Ruth Hurtado</t>
  </si>
  <si>
    <t>Ruth</t>
  </si>
  <si>
    <t>Hurtado</t>
  </si>
  <si>
    <t>ruth</t>
  </si>
  <si>
    <t>hurtado</t>
  </si>
  <si>
    <t>Tania Madriaga</t>
  </si>
  <si>
    <t>Tania</t>
  </si>
  <si>
    <t>Madriaga</t>
  </si>
  <si>
    <t>tania</t>
  </si>
  <si>
    <t>madriaga</t>
  </si>
  <si>
    <t>Teresa Marinovic</t>
  </si>
  <si>
    <t>Teresa</t>
  </si>
  <si>
    <t>Marinovic</t>
  </si>
  <si>
    <t>teresa</t>
  </si>
  <si>
    <t>marinovic</t>
  </si>
  <si>
    <t>Vanessa Hoppe</t>
  </si>
  <si>
    <t>Vanessa</t>
  </si>
  <si>
    <t>Hoppe</t>
  </si>
  <si>
    <t>vanessa</t>
  </si>
  <si>
    <t>hoppe</t>
  </si>
  <si>
    <t>id_ip</t>
  </si>
  <si>
    <r>
      <rPr>
        <b/>
        <sz val="10"/>
        <rFont val="Times New Roman"/>
        <family val="1"/>
      </rPr>
      <t>Militantes partidarios</t>
    </r>
  </si>
  <si>
    <t>nombre_mp</t>
  </si>
  <si>
    <t>Álvaro Jofré</t>
  </si>
  <si>
    <t>Álvaro</t>
  </si>
  <si>
    <t>Jofré</t>
  </si>
  <si>
    <t>alvaro</t>
  </si>
  <si>
    <t>Amaya Álvez</t>
  </si>
  <si>
    <t>Amaya</t>
  </si>
  <si>
    <t>Álvez</t>
  </si>
  <si>
    <t>amaya</t>
  </si>
  <si>
    <t>Arturo Zúñiga</t>
  </si>
  <si>
    <t>Arturo</t>
  </si>
  <si>
    <t>Zúñiga</t>
  </si>
  <si>
    <t>arturo</t>
  </si>
  <si>
    <t>Bárbara Sepúlveda</t>
  </si>
  <si>
    <t>Carol Bown</t>
  </si>
  <si>
    <t>Carol</t>
  </si>
  <si>
    <t>Bown</t>
  </si>
  <si>
    <t>carol</t>
  </si>
  <si>
    <t>Carolina Videla</t>
  </si>
  <si>
    <t>Videla</t>
  </si>
  <si>
    <t>César Valenzuela</t>
  </si>
  <si>
    <t>Constanza Hube</t>
  </si>
  <si>
    <t>Hube</t>
  </si>
  <si>
    <t>Constanza Schonhaut</t>
  </si>
  <si>
    <t>Schonhaut</t>
  </si>
  <si>
    <t>Cristián Monckeberg</t>
  </si>
  <si>
    <t>Cristián</t>
  </si>
  <si>
    <t>Monckeberg</t>
  </si>
  <si>
    <t>cristian</t>
  </si>
  <si>
    <t>Eduardo Castillo</t>
  </si>
  <si>
    <t>Eduardo</t>
  </si>
  <si>
    <t>eduardo</t>
  </si>
  <si>
    <t>Eduardo Cretton</t>
  </si>
  <si>
    <t>Cretton</t>
  </si>
  <si>
    <t>Ericka Portilla</t>
  </si>
  <si>
    <t>Ericka</t>
  </si>
  <si>
    <t>Portilla</t>
  </si>
  <si>
    <t>ericka</t>
  </si>
  <si>
    <t>Felipe Harboe</t>
  </si>
  <si>
    <t>Felipe</t>
  </si>
  <si>
    <t>Harboe</t>
  </si>
  <si>
    <t>felipe</t>
  </si>
  <si>
    <t>Felipe Mena</t>
  </si>
  <si>
    <t>Mena</t>
  </si>
  <si>
    <t>Fuad Chahín</t>
  </si>
  <si>
    <t>Fuad</t>
  </si>
  <si>
    <t>Chahín</t>
  </si>
  <si>
    <t>fuad</t>
  </si>
  <si>
    <t>Geoconda Navarrete</t>
  </si>
  <si>
    <t>Geoconda</t>
  </si>
  <si>
    <t>Navarrete</t>
  </si>
  <si>
    <t>geoconda</t>
  </si>
  <si>
    <t>Giovanna Roa</t>
  </si>
  <si>
    <t>Roa</t>
  </si>
  <si>
    <t>Harry Jürgensen</t>
  </si>
  <si>
    <t>Harry</t>
  </si>
  <si>
    <t>Jürgensen</t>
  </si>
  <si>
    <t>harry</t>
  </si>
  <si>
    <t>Hernán Larraín</t>
  </si>
  <si>
    <t>Hernán</t>
  </si>
  <si>
    <t>Larraín</t>
  </si>
  <si>
    <t>hernan</t>
  </si>
  <si>
    <t>Hernán Velásquez</t>
  </si>
  <si>
    <t>Velásquez</t>
  </si>
  <si>
    <t>Hugo Gutiérrez</t>
  </si>
  <si>
    <t>Hugo</t>
  </si>
  <si>
    <t>Gutiérrez</t>
  </si>
  <si>
    <t>hugo</t>
  </si>
  <si>
    <t>Ignacio Achurra</t>
  </si>
  <si>
    <t>Ignacio</t>
  </si>
  <si>
    <t>Achurra</t>
  </si>
  <si>
    <t>ignacio</t>
  </si>
  <si>
    <t>Julio Álvarez</t>
  </si>
  <si>
    <t>Julio</t>
  </si>
  <si>
    <t>Álvarez</t>
  </si>
  <si>
    <t>julio</t>
  </si>
  <si>
    <t>Katerine Montealegre</t>
  </si>
  <si>
    <t>Katerine</t>
  </si>
  <si>
    <t>Montealegre</t>
  </si>
  <si>
    <t>katerine</t>
  </si>
  <si>
    <t>Luciano Silva</t>
  </si>
  <si>
    <t>Luciano</t>
  </si>
  <si>
    <t>Silva</t>
  </si>
  <si>
    <t>luciano</t>
  </si>
  <si>
    <t>Luis Mayol</t>
  </si>
  <si>
    <t>Mayol</t>
  </si>
  <si>
    <t>Malucha Pinto</t>
  </si>
  <si>
    <t>Malucha</t>
  </si>
  <si>
    <t>Pinto</t>
  </si>
  <si>
    <t>malucha</t>
  </si>
  <si>
    <t>Marcos Barraza</t>
  </si>
  <si>
    <t>Marcos</t>
  </si>
  <si>
    <t>Barraza</t>
  </si>
  <si>
    <t>marcos</t>
  </si>
  <si>
    <t>Margarita Letelier</t>
  </si>
  <si>
    <t>Margarita</t>
  </si>
  <si>
    <t>Letelier</t>
  </si>
  <si>
    <t>margarita</t>
  </si>
  <si>
    <t>Margarita Vargas</t>
  </si>
  <si>
    <t>Vargas</t>
  </si>
  <si>
    <t>María José Oyarzún</t>
  </si>
  <si>
    <t>María José</t>
  </si>
  <si>
    <t>Oyarzún</t>
  </si>
  <si>
    <t>maria jose</t>
  </si>
  <si>
    <t>Mario Vargas</t>
  </si>
  <si>
    <t>Mario</t>
  </si>
  <si>
    <t>mario</t>
  </si>
  <si>
    <t>Martín Arrau</t>
  </si>
  <si>
    <t>Arrau</t>
  </si>
  <si>
    <t>Matías Orellana</t>
  </si>
  <si>
    <t>Matías</t>
  </si>
  <si>
    <t>Orellana</t>
  </si>
  <si>
    <t>matias</t>
  </si>
  <si>
    <t>Maximiliano Hurtado</t>
  </si>
  <si>
    <t>Maximiliano</t>
  </si>
  <si>
    <t>maximiliano</t>
  </si>
  <si>
    <t>Nicolás Núñez</t>
  </si>
  <si>
    <t>Nicolás</t>
  </si>
  <si>
    <t>Núñez</t>
  </si>
  <si>
    <t>nicolas</t>
  </si>
  <si>
    <t>Pablo Toloza</t>
  </si>
  <si>
    <t>Pablo</t>
  </si>
  <si>
    <t>Toloza</t>
  </si>
  <si>
    <t>pablo</t>
  </si>
  <si>
    <t>Paola Grandón</t>
  </si>
  <si>
    <t>Paola</t>
  </si>
  <si>
    <t>paola</t>
  </si>
  <si>
    <t>Patricia Labra</t>
  </si>
  <si>
    <t>Labra</t>
  </si>
  <si>
    <t>Paulina Veloso</t>
  </si>
  <si>
    <t>Veloso</t>
  </si>
  <si>
    <t>Pedro Muñoz</t>
  </si>
  <si>
    <t>Pedro</t>
  </si>
  <si>
    <t>Muñoz</t>
  </si>
  <si>
    <t>pedro</t>
  </si>
  <si>
    <t>Ramona Reyes</t>
  </si>
  <si>
    <t>Ramona</t>
  </si>
  <si>
    <t>Reyes</t>
  </si>
  <si>
    <t>ramona</t>
  </si>
  <si>
    <t>Raúl Celis</t>
  </si>
  <si>
    <t>Raúl</t>
  </si>
  <si>
    <t>Celis</t>
  </si>
  <si>
    <t>raul</t>
  </si>
  <si>
    <t>Ricardo Montero</t>
  </si>
  <si>
    <t>Montero</t>
  </si>
  <si>
    <t>Roberto Vega</t>
  </si>
  <si>
    <t>Vega</t>
  </si>
  <si>
    <t>Rodrigo Álvarez</t>
  </si>
  <si>
    <t>Ruggero Cozzi</t>
  </si>
  <si>
    <t>Ruggero</t>
  </si>
  <si>
    <t>Cozzi</t>
  </si>
  <si>
    <t>ruggero</t>
  </si>
  <si>
    <t>Tatiana Urrutia</t>
  </si>
  <si>
    <t>Tatiana</t>
  </si>
  <si>
    <t>Urrutia</t>
  </si>
  <si>
    <t>tatiana</t>
  </si>
  <si>
    <t>Tomás Laibe</t>
  </si>
  <si>
    <t>Tomás</t>
  </si>
  <si>
    <t>Laibe</t>
  </si>
  <si>
    <t>tomas</t>
  </si>
  <si>
    <t>Valentina Miranda</t>
  </si>
  <si>
    <t>Valentina</t>
  </si>
  <si>
    <t>Miranda</t>
  </si>
  <si>
    <t>valentina</t>
  </si>
  <si>
    <t>Yarela Gómez</t>
  </si>
  <si>
    <t>Yarela</t>
  </si>
  <si>
    <t>yarela</t>
  </si>
  <si>
    <t>id_mp</t>
  </si>
  <si>
    <t>jofre</t>
  </si>
  <si>
    <t>alvez</t>
  </si>
  <si>
    <t>zuniga</t>
  </si>
  <si>
    <t>bown</t>
  </si>
  <si>
    <t>videla</t>
  </si>
  <si>
    <t>hube</t>
  </si>
  <si>
    <t>schonhaut</t>
  </si>
  <si>
    <t>monckeberg</t>
  </si>
  <si>
    <t>cretton</t>
  </si>
  <si>
    <t>portilla</t>
  </si>
  <si>
    <t>harboe</t>
  </si>
  <si>
    <t>mena</t>
  </si>
  <si>
    <t>chahin</t>
  </si>
  <si>
    <t>navarrete</t>
  </si>
  <si>
    <t>roa</t>
  </si>
  <si>
    <t>jurgensen</t>
  </si>
  <si>
    <t>larrain</t>
  </si>
  <si>
    <t>velasquez</t>
  </si>
  <si>
    <t>gutierrez</t>
  </si>
  <si>
    <t>achurra</t>
  </si>
  <si>
    <t>alvarez</t>
  </si>
  <si>
    <t>montealegre</t>
  </si>
  <si>
    <t>silva</t>
  </si>
  <si>
    <t>mayol</t>
  </si>
  <si>
    <t>pinto</t>
  </si>
  <si>
    <t>barraza</t>
  </si>
  <si>
    <t>letelier</t>
  </si>
  <si>
    <t>vargas</t>
  </si>
  <si>
    <t>oyarzun</t>
  </si>
  <si>
    <t>arrau</t>
  </si>
  <si>
    <t>orellana</t>
  </si>
  <si>
    <t>nunez</t>
  </si>
  <si>
    <t>toloza</t>
  </si>
  <si>
    <t>labra</t>
  </si>
  <si>
    <t>veloso</t>
  </si>
  <si>
    <t>munoz</t>
  </si>
  <si>
    <t>reyes</t>
  </si>
  <si>
    <t>celis</t>
  </si>
  <si>
    <t>montero</t>
  </si>
  <si>
    <t>vega</t>
  </si>
  <si>
    <t>cozzi</t>
  </si>
  <si>
    <t>urrutia</t>
  </si>
  <si>
    <t>laibe</t>
  </si>
  <si>
    <t>miranda</t>
  </si>
  <si>
    <t>inp_ip_mp</t>
  </si>
  <si>
    <t>inp</t>
  </si>
  <si>
    <t>ip</t>
  </si>
  <si>
    <t>mp</t>
  </si>
  <si>
    <t>nombre</t>
  </si>
  <si>
    <t>PUEBLOS</t>
  </si>
  <si>
    <t>nome_pactos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</si>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</sst>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Fira Sans Light"/>
      <family val="2"/>
    </font>
    <font>
      <b/>
      <sz val="11"/>
      <color theme="0"/>
      <name val="Fira Sans Light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Fira Sans Light"/>
      <family val="2"/>
    </font>
    <font>
      <sz val="12"/>
      <color theme="1"/>
      <name val="Fira Sans Light"/>
      <family val="2"/>
    </font>
    <font>
      <sz val="12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0" fontId="12" fillId="0" borderId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7" xfId="0" applyFont="1" applyFill="1" applyBorder="1" applyAlignment="1">
      <alignment horizontal="right"/>
    </xf>
    <xf numFmtId="0" fontId="2" fillId="2" borderId="8" xfId="0" applyFont="1" applyFill="1" applyBorder="1"/>
    <xf numFmtId="0" fontId="2" fillId="2" borderId="5" xfId="0" applyFont="1" applyFill="1" applyBorder="1"/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/>
    <xf numFmtId="0" fontId="2" fillId="2" borderId="6" xfId="0" applyFont="1" applyFill="1" applyBorder="1"/>
    <xf numFmtId="0" fontId="2" fillId="2" borderId="9" xfId="0" applyFont="1" applyFill="1" applyBorder="1" applyAlignment="1">
      <alignment horizontal="right"/>
    </xf>
    <xf numFmtId="0" fontId="2" fillId="3" borderId="7" xfId="0" applyFont="1" applyFill="1" applyBorder="1"/>
    <xf numFmtId="0" fontId="2" fillId="3" borderId="4" xfId="0" applyFont="1" applyFill="1" applyBorder="1"/>
    <xf numFmtId="0" fontId="2" fillId="3" borderId="7" xfId="0" applyFont="1" applyFill="1" applyBorder="1" applyAlignment="1">
      <alignment horizontal="right"/>
    </xf>
    <xf numFmtId="0" fontId="2" fillId="3" borderId="8" xfId="0" applyFont="1" applyFill="1" applyBorder="1"/>
    <xf numFmtId="0" fontId="2" fillId="3" borderId="5" xfId="0" applyFont="1" applyFill="1" applyBorder="1"/>
    <xf numFmtId="0" fontId="2" fillId="3" borderId="8" xfId="0" applyFont="1" applyFill="1" applyBorder="1" applyAlignment="1">
      <alignment horizontal="right"/>
    </xf>
    <xf numFmtId="0" fontId="2" fillId="3" borderId="9" xfId="0" applyFont="1" applyFill="1" applyBorder="1"/>
    <xf numFmtId="0" fontId="2" fillId="3" borderId="6" xfId="0" applyFont="1" applyFill="1" applyBorder="1"/>
    <xf numFmtId="0" fontId="2" fillId="3" borderId="9" xfId="0" applyFont="1" applyFill="1" applyBorder="1" applyAlignment="1">
      <alignment horizontal="right"/>
    </xf>
    <xf numFmtId="0" fontId="2" fillId="3" borderId="14" xfId="0" applyFont="1" applyFill="1" applyBorder="1"/>
    <xf numFmtId="0" fontId="2" fillId="3" borderId="15" xfId="0" applyFont="1" applyFill="1" applyBorder="1"/>
    <xf numFmtId="0" fontId="2" fillId="3" borderId="14" xfId="0" applyFont="1" applyFill="1" applyBorder="1" applyAlignment="1">
      <alignment horizontal="right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2" fillId="5" borderId="21" xfId="0" applyFont="1" applyFill="1" applyBorder="1"/>
    <xf numFmtId="0" fontId="4" fillId="0" borderId="23" xfId="1" applyFont="1" applyBorder="1" applyAlignment="1">
      <alignment horizontal="center" vertical="top"/>
    </xf>
    <xf numFmtId="0" fontId="2" fillId="6" borderId="21" xfId="0" applyFont="1" applyFill="1" applyBorder="1"/>
    <xf numFmtId="0" fontId="2" fillId="5" borderId="22" xfId="0" applyFont="1" applyFill="1" applyBorder="1"/>
    <xf numFmtId="0" fontId="5" fillId="0" borderId="0" xfId="0" applyFont="1"/>
    <xf numFmtId="0" fontId="6" fillId="0" borderId="23" xfId="1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6" fillId="0" borderId="24" xfId="1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0" fillId="0" borderId="25" xfId="2" applyFont="1" applyBorder="1" applyAlignment="1">
      <alignment horizontal="left" vertical="top"/>
    </xf>
    <xf numFmtId="0" fontId="5" fillId="0" borderId="0" xfId="2" applyFont="1"/>
    <xf numFmtId="0" fontId="5" fillId="0" borderId="0" xfId="2" applyFont="1" applyAlignment="1">
      <alignment horizontal="center" vertical="center"/>
    </xf>
    <xf numFmtId="0" fontId="9" fillId="0" borderId="0" xfId="2"/>
    <xf numFmtId="0" fontId="10" fillId="0" borderId="12" xfId="2" applyFont="1" applyBorder="1" applyAlignment="1">
      <alignment horizontal="left" vertical="top"/>
    </xf>
    <xf numFmtId="0" fontId="10" fillId="0" borderId="0" xfId="2" applyFont="1" applyAlignment="1">
      <alignment horizontal="left" vertical="top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vertical="top"/>
    </xf>
    <xf numFmtId="0" fontId="9" fillId="0" borderId="0" xfId="2" applyAlignment="1">
      <alignment horizontal="center" vertical="center"/>
    </xf>
    <xf numFmtId="0" fontId="11" fillId="0" borderId="25" xfId="3" applyFont="1" applyBorder="1" applyAlignment="1">
      <alignment horizontal="left" vertical="center"/>
    </xf>
    <xf numFmtId="0" fontId="13" fillId="0" borderId="0" xfId="3" applyFont="1"/>
    <xf numFmtId="0" fontId="13" fillId="0" borderId="0" xfId="3" applyFont="1" applyAlignment="1">
      <alignment horizontal="center" vertical="center"/>
    </xf>
    <xf numFmtId="0" fontId="12" fillId="0" borderId="0" xfId="3"/>
    <xf numFmtId="0" fontId="10" fillId="0" borderId="12" xfId="3" applyFont="1" applyBorder="1" applyAlignment="1">
      <alignment horizontal="left" vertical="center"/>
    </xf>
    <xf numFmtId="0" fontId="12" fillId="0" borderId="0" xfId="3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0" fillId="0" borderId="25" xfId="3" applyFont="1" applyBorder="1" applyAlignment="1">
      <alignment horizontal="left" vertical="top"/>
    </xf>
    <xf numFmtId="0" fontId="10" fillId="0" borderId="12" xfId="3" applyFont="1" applyBorder="1" applyAlignment="1">
      <alignment horizontal="left" vertical="top"/>
    </xf>
    <xf numFmtId="0" fontId="10" fillId="0" borderId="0" xfId="3" applyFont="1" applyAlignment="1">
      <alignment horizontal="left" vertical="top"/>
    </xf>
    <xf numFmtId="0" fontId="10" fillId="0" borderId="0" xfId="3" applyFont="1" applyAlignment="1">
      <alignment horizontal="left" vertical="top" wrapText="1"/>
    </xf>
    <xf numFmtId="0" fontId="2" fillId="0" borderId="23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13" fillId="0" borderId="0" xfId="3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18"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ira Sans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ira Sans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ira Sans Light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P156" totalsRowShown="0" headerRowDxfId="17" dataDxfId="16">
  <autoFilter ref="A1:P156" xr:uid="{00000000-0009-0000-0100-000001000000}"/>
  <tableColumns count="16">
    <tableColumn id="1" xr3:uid="{00000000-0010-0000-0000-000001000000}" name="NOMBRE CONVENCIONAL CONSTITUYENTE" dataDxfId="15"/>
    <tableColumn id="15" xr3:uid="{00000000-0010-0000-0000-00000F000000}" name="id" dataDxfId="14">
      <calculatedColumnFormula>VLOOKUP(Tabla1[[#This Row],[NOMBRE CONVENCIONAL CONSTITUYENTE]],all!$A$2:$B$156,2,FALSE)</calculatedColumnFormula>
    </tableColumn>
    <tableColumn id="16" xr3:uid="{00000000-0010-0000-0000-000010000000}" name="apellido, nombre" dataDxfId="13">
      <calculatedColumnFormula>VLOOKUP(Tabla1[[#This Row],[id]],apellido_nombre!$J$2:$K$155,2,FALSE)</calculatedColumnFormula>
    </tableColumn>
    <tableColumn id="2" xr3:uid="{00000000-0010-0000-0000-000002000000}" name="FECHA DE NACIMIENTO" dataDxfId="12"/>
    <tableColumn id="3" xr3:uid="{00000000-0010-0000-0000-000003000000}" name="EDAD" dataDxfId="11"/>
    <tableColumn id="4" xr3:uid="{00000000-0010-0000-0000-000004000000}" name="SEXO" dataDxfId="10"/>
    <tableColumn id="5" xr3:uid="{00000000-0010-0000-0000-000005000000}" name="DISTRITO " dataDxfId="9"/>
    <tableColumn id="6" xr3:uid="{00000000-0010-0000-0000-000006000000}" name="PACTO POR EL QUE FUE ELECTO" dataDxfId="8"/>
    <tableColumn id="14" xr3:uid="{00000000-0010-0000-0000-00000E000000}" name="CAMBIO DE PACTO DURANTE CONVENCIÓN" dataDxfId="7"/>
    <tableColumn id="7" xr3:uid="{00000000-0010-0000-0000-000007000000}" name="PUEBLO ORIGINARIO" dataDxfId="6"/>
    <tableColumn id="8" xr3:uid="{00000000-0010-0000-0000-000008000000}" name="LISTA EN LA CONVENCIÓN" dataDxfId="5"/>
    <tableColumn id="9" xr3:uid="{00000000-0010-0000-0000-000009000000}" name="PARTIDO POLÍTICO" dataDxfId="4"/>
    <tableColumn id="12" xr3:uid="{00000000-0010-0000-0000-00000C000000}" name="COMISIONES DE REGLAMENTOS DE LA CONVENCIÓN" dataDxfId="3"/>
    <tableColumn id="10" xr3:uid="{00000000-0010-0000-0000-00000A000000}" name="MIEMBRO COMISIÓN " dataDxfId="2"/>
    <tableColumn id="13" xr3:uid="{00000000-0010-0000-0000-00000D000000}" name="CAMBIO" dataDxfId="1"/>
    <tableColumn id="11" xr3:uid="{00000000-0010-0000-0000-00000B000000}" name="COMISIÓN DE SISTEMATIZACIÓN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workbookViewId="0">
      <selection activeCell="N2" sqref="N2"/>
    </sheetView>
  </sheetViews>
  <sheetFormatPr defaultRowHeight="15.5" x14ac:dyDescent="0.35"/>
  <cols>
    <col min="1" max="1" width="19.58203125" bestFit="1" customWidth="1"/>
    <col min="2" max="2" width="43.33203125" bestFit="1" customWidth="1"/>
    <col min="3" max="3" width="18.33203125" bestFit="1" customWidth="1"/>
    <col min="4" max="4" width="21.75" bestFit="1" customWidth="1"/>
    <col min="5" max="5" width="11.83203125" customWidth="1"/>
    <col min="8" max="8" width="11.33203125" customWidth="1"/>
    <col min="9" max="9" width="15.83203125" customWidth="1"/>
    <col min="10" max="10" width="16.33203125" bestFit="1" customWidth="1"/>
    <col min="11" max="11" width="21.83203125" customWidth="1"/>
    <col min="12" max="12" width="12.25" style="1" customWidth="1"/>
    <col min="13" max="13" width="17.5" customWidth="1"/>
  </cols>
  <sheetData>
    <row r="1" spans="1:13" x14ac:dyDescent="0.35">
      <c r="A1" s="50" t="s">
        <v>606</v>
      </c>
      <c r="B1" s="50" t="s">
        <v>773</v>
      </c>
      <c r="C1" s="50" t="s">
        <v>606</v>
      </c>
      <c r="D1" s="50" t="s">
        <v>734</v>
      </c>
      <c r="E1" s="50" t="s">
        <v>735</v>
      </c>
      <c r="F1" s="50" t="s">
        <v>736</v>
      </c>
      <c r="G1" s="50" t="s">
        <v>737</v>
      </c>
      <c r="H1" s="50" t="s">
        <v>738</v>
      </c>
      <c r="I1" s="50" t="s">
        <v>740</v>
      </c>
      <c r="J1" s="50" t="s">
        <v>741</v>
      </c>
      <c r="K1" s="50" t="s">
        <v>742</v>
      </c>
      <c r="L1" s="50" t="s">
        <v>769</v>
      </c>
      <c r="M1" s="50" t="s">
        <v>1642</v>
      </c>
    </row>
    <row r="2" spans="1:13" x14ac:dyDescent="0.35">
      <c r="A2" s="1">
        <v>1</v>
      </c>
      <c r="B2" s="1" t="s">
        <v>223</v>
      </c>
      <c r="C2" s="1">
        <v>1</v>
      </c>
      <c r="D2" s="1" t="s">
        <v>441</v>
      </c>
      <c r="E2" s="1">
        <f>VLOOKUP(C2,Tabla1[[id]:[EDAD]],4,FALSE)</f>
        <v>55</v>
      </c>
      <c r="F2" s="1">
        <f>IF(Tabla1[[#This Row],[SEXO]]="Masculino",0,1)</f>
        <v>0</v>
      </c>
      <c r="G2" s="1">
        <f>VLOOKUP(C2,Tabla1[[id]:[DISTRITO ]],6,FALSE)</f>
        <v>29</v>
      </c>
      <c r="H2" s="1">
        <f>VLOOKUP(Tabla1[[#This Row],[PACTO POR EL QUE FUE ELECTO]],ref!$A$2:$B$8,2,FALSE)</f>
        <v>6</v>
      </c>
      <c r="I2" s="1">
        <f>IF(Tabla1[[#This Row],[CAMBIO DE PACTO DURANTE CONVENCIÓN]]="",0,1)</f>
        <v>0</v>
      </c>
      <c r="J2" s="1">
        <f>IF(Tabla1[[#This Row],[PUEBLO ORIGINARIO]]="",0,1)</f>
        <v>1</v>
      </c>
      <c r="K2" s="1">
        <f>VLOOKUP(Tabla1[[#This Row],[LISTA EN LA CONVENCIÓN]],ref!A$11:B$21,2,FALSE)</f>
        <v>10</v>
      </c>
      <c r="L2" s="1" cm="1">
        <f t="array" ref="L2:L156">IFERROR(VLOOKUP(Tabla1[PARTIDO POLÍTICO],partidos_indep!$A$2:$I$27,9,FALSE),VLOOKUP(Tabla1[[#This Row],[PUEBLO ORIGINARIO]],ref!$A$24:$B$33,2,FALSE))</f>
        <v>17</v>
      </c>
      <c r="M2" s="1">
        <f>VLOOKUP(C2,inp_ip_mp!$B$2:$C$156,2,FALSE)</f>
        <v>1</v>
      </c>
    </row>
    <row r="3" spans="1:13" x14ac:dyDescent="0.35">
      <c r="A3" s="1">
        <v>2</v>
      </c>
      <c r="B3" s="1" t="s">
        <v>224</v>
      </c>
      <c r="C3" s="1">
        <v>2</v>
      </c>
      <c r="D3" s="1" t="s">
        <v>526</v>
      </c>
      <c r="E3" s="1">
        <f>VLOOKUP(C3,Tabla1[[id]:[EDAD]],4,FALSE)</f>
        <v>35</v>
      </c>
      <c r="F3" s="1">
        <f>IF(Tabla1[[#This Row],[SEXO]]="Masculino",0,1)</f>
        <v>1</v>
      </c>
      <c r="G3" s="1">
        <f>VLOOKUP(C3,Tabla1[[id]:[DISTRITO ]],6,FALSE)</f>
        <v>26</v>
      </c>
      <c r="H3" s="1">
        <f>VLOOKUP(Tabla1[[#This Row],[PACTO POR EL QUE FUE ELECTO]],ref!$A$2:$B$8,2,FALSE)</f>
        <v>3</v>
      </c>
      <c r="I3" s="1">
        <f>IF(Tabla1[[#This Row],[CAMBIO DE PACTO DURANTE CONVENCIÓN]]="",0,1)</f>
        <v>1</v>
      </c>
      <c r="J3" s="1">
        <f>IF(Tabla1[[#This Row],[PUEBLO ORIGINARIO]]="",0,1)</f>
        <v>0</v>
      </c>
      <c r="K3" s="1">
        <f>VLOOKUP(Tabla1[[#This Row],[LISTA EN LA CONVENCIÓN]],ref!A$11:B$21,2,FALSE)</f>
        <v>8</v>
      </c>
      <c r="L3" s="1">
        <v>0</v>
      </c>
      <c r="M3" s="1">
        <f>VLOOKUP(C3,inp_ip_mp!$B$2:$C$156,2,FALSE)</f>
        <v>0</v>
      </c>
    </row>
    <row r="4" spans="1:13" x14ac:dyDescent="0.35">
      <c r="A4" s="1">
        <v>3</v>
      </c>
      <c r="B4" s="1" t="s">
        <v>225</v>
      </c>
      <c r="C4" s="1">
        <v>3</v>
      </c>
      <c r="D4" s="1" t="s">
        <v>506</v>
      </c>
      <c r="E4" s="1">
        <f>VLOOKUP(C4,Tabla1[[id]:[EDAD]],4,FALSE)</f>
        <v>59</v>
      </c>
      <c r="F4" s="1">
        <f>IF(Tabla1[[#This Row],[SEXO]]="Masculino",0,1)</f>
        <v>1</v>
      </c>
      <c r="G4" s="1">
        <f>VLOOKUP(C4,Tabla1[[id]:[DISTRITO ]],6,FALSE)</f>
        <v>16</v>
      </c>
      <c r="H4" s="1">
        <f>VLOOKUP(Tabla1[[#This Row],[PACTO POR EL QUE FUE ELECTO]],ref!$A$2:$B$8,2,FALSE)</f>
        <v>1</v>
      </c>
      <c r="I4" s="1">
        <f>IF(Tabla1[[#This Row],[CAMBIO DE PACTO DURANTE CONVENCIÓN]]="",0,1)</f>
        <v>0</v>
      </c>
      <c r="J4" s="1">
        <f>IF(Tabla1[[#This Row],[PUEBLO ORIGINARIO]]="",0,1)</f>
        <v>0</v>
      </c>
      <c r="K4" s="1">
        <f>VLOOKUP(Tabla1[[#This Row],[LISTA EN LA CONVENCIÓN]],ref!A$11:B$21,2,FALSE)</f>
        <v>3</v>
      </c>
      <c r="L4" s="1">
        <v>0</v>
      </c>
      <c r="M4" s="1">
        <f>VLOOKUP(C4,inp_ip_mp!$B$2:$C$156,2,FALSE)</f>
        <v>1</v>
      </c>
    </row>
    <row r="5" spans="1:13" x14ac:dyDescent="0.35">
      <c r="A5" s="1">
        <v>4</v>
      </c>
      <c r="B5" s="1" t="s">
        <v>226</v>
      </c>
      <c r="C5" s="1">
        <v>4</v>
      </c>
      <c r="D5" s="1" t="s">
        <v>406</v>
      </c>
      <c r="E5" s="1">
        <f>VLOOKUP(C5,Tabla1[[id]:[EDAD]],4,FALSE)</f>
        <v>78</v>
      </c>
      <c r="F5" s="1">
        <f>IF(Tabla1[[#This Row],[SEXO]]="Masculino",0,1)</f>
        <v>0</v>
      </c>
      <c r="G5" s="1">
        <f>VLOOKUP(C5,Tabla1[[id]:[DISTRITO ]],6,FALSE)</f>
        <v>7</v>
      </c>
      <c r="H5" s="1">
        <f>VLOOKUP(Tabla1[[#This Row],[PACTO POR EL QUE FUE ELECTO]],ref!$A$2:$B$8,2,FALSE)</f>
        <v>1</v>
      </c>
      <c r="I5" s="1">
        <f>IF(Tabla1[[#This Row],[CAMBIO DE PACTO DURANTE CONVENCIÓN]]="",0,1)</f>
        <v>0</v>
      </c>
      <c r="J5" s="1">
        <f>IF(Tabla1[[#This Row],[PUEBLO ORIGINARIO]]="",0,1)</f>
        <v>0</v>
      </c>
      <c r="K5" s="1">
        <f>VLOOKUP(Tabla1[[#This Row],[LISTA EN LA CONVENCIÓN]],ref!A$11:B$21,2,FALSE)</f>
        <v>2</v>
      </c>
      <c r="L5" s="1">
        <v>0</v>
      </c>
      <c r="M5" s="1">
        <f>VLOOKUP(C5,inp_ip_mp!$B$2:$C$156,2,FALSE)</f>
        <v>1</v>
      </c>
    </row>
    <row r="6" spans="1:13" x14ac:dyDescent="0.35">
      <c r="A6" s="1">
        <v>5</v>
      </c>
      <c r="B6" s="1" t="s">
        <v>227</v>
      </c>
      <c r="C6" s="1">
        <v>5</v>
      </c>
      <c r="D6" s="1" t="s">
        <v>484</v>
      </c>
      <c r="E6" s="1">
        <f>VLOOKUP(C6,Tabla1[[id]:[EDAD]],4,FALSE)</f>
        <v>61</v>
      </c>
      <c r="F6" s="1">
        <f>IF(Tabla1[[#This Row],[SEXO]]="Masculino",0,1)</f>
        <v>1</v>
      </c>
      <c r="G6" s="1">
        <f>VLOOKUP(C6,Tabla1[[id]:[DISTRITO ]],6,FALSE)</f>
        <v>2</v>
      </c>
      <c r="H6" s="1">
        <f>VLOOKUP(Tabla1[[#This Row],[PACTO POR EL QUE FUE ELECTO]],ref!$A$2:$B$8,2,FALSE)</f>
        <v>5</v>
      </c>
      <c r="I6" s="1">
        <f>IF(Tabla1[[#This Row],[CAMBIO DE PACTO DURANTE CONVENCIÓN]]="",0,1)</f>
        <v>1</v>
      </c>
      <c r="J6" s="1">
        <f>IF(Tabla1[[#This Row],[PUEBLO ORIGINARIO]]="",0,1)</f>
        <v>0</v>
      </c>
      <c r="K6" s="1">
        <f>VLOOKUP(Tabla1[[#This Row],[LISTA EN LA CONVENCIÓN]],ref!A$11:B$21,2,FALSE)</f>
        <v>6</v>
      </c>
      <c r="L6" s="1">
        <v>0</v>
      </c>
      <c r="M6" s="1">
        <f>VLOOKUP(C6,inp_ip_mp!$B$2:$C$156,2,FALSE)</f>
        <v>0</v>
      </c>
    </row>
    <row r="7" spans="1:13" x14ac:dyDescent="0.35">
      <c r="A7" s="1">
        <v>6</v>
      </c>
      <c r="B7" s="1" t="s">
        <v>228</v>
      </c>
      <c r="C7" s="1">
        <v>6</v>
      </c>
      <c r="D7" s="1" t="s">
        <v>422</v>
      </c>
      <c r="E7" s="1">
        <f>VLOOKUP(C7,Tabla1[[id]:[EDAD]],4,FALSE)</f>
        <v>44</v>
      </c>
      <c r="F7" s="1">
        <f>IF(Tabla1[[#This Row],[SEXO]]="Masculino",0,1)</f>
        <v>1</v>
      </c>
      <c r="G7" s="1">
        <f>VLOOKUP(C7,Tabla1[[id]:[DISTRITO ]],6,FALSE)</f>
        <v>9</v>
      </c>
      <c r="H7" s="1">
        <f>VLOOKUP(Tabla1[[#This Row],[PACTO POR EL QUE FUE ELECTO]],ref!$A$2:$B$8,2,FALSE)</f>
        <v>3</v>
      </c>
      <c r="I7" s="1">
        <f>IF(Tabla1[[#This Row],[CAMBIO DE PACTO DURANTE CONVENCIÓN]]="",0,1)</f>
        <v>1</v>
      </c>
      <c r="J7" s="1">
        <f>IF(Tabla1[[#This Row],[PUEBLO ORIGINARIO]]="",0,1)</f>
        <v>0</v>
      </c>
      <c r="K7" s="1">
        <f>VLOOKUP(Tabla1[[#This Row],[LISTA EN LA CONVENCIÓN]],ref!A$11:B$21,2,FALSE)</f>
        <v>9</v>
      </c>
      <c r="L7" s="1">
        <v>0</v>
      </c>
      <c r="M7" s="1">
        <f>VLOOKUP(C7,inp_ip_mp!$B$2:$C$156,2,FALSE)</f>
        <v>0</v>
      </c>
    </row>
    <row r="8" spans="1:13" x14ac:dyDescent="0.35">
      <c r="A8" s="1">
        <v>7</v>
      </c>
      <c r="B8" s="1" t="s">
        <v>229</v>
      </c>
      <c r="C8" s="1">
        <v>7</v>
      </c>
      <c r="D8" s="1" t="s">
        <v>508</v>
      </c>
      <c r="E8" s="1">
        <f>VLOOKUP(C8,Tabla1[[id]:[EDAD]],4,FALSE)</f>
        <v>46</v>
      </c>
      <c r="F8" s="1">
        <f>IF(Tabla1[[#This Row],[SEXO]]="Masculino",0,1)</f>
        <v>0</v>
      </c>
      <c r="G8" s="1">
        <f>VLOOKUP(C8,Tabla1[[id]:[DISTRITO ]],6,FALSE)</f>
        <v>29</v>
      </c>
      <c r="H8" s="1">
        <f>VLOOKUP(Tabla1[[#This Row],[PACTO POR EL QUE FUE ELECTO]],ref!$A$2:$B$8,2,FALSE)</f>
        <v>6</v>
      </c>
      <c r="I8" s="1">
        <f>IF(Tabla1[[#This Row],[CAMBIO DE PACTO DURANTE CONVENCIÓN]]="",0,1)</f>
        <v>0</v>
      </c>
      <c r="J8" s="1">
        <f>IF(Tabla1[[#This Row],[PUEBLO ORIGINARIO]]="",0,1)</f>
        <v>1</v>
      </c>
      <c r="K8" s="1">
        <f>VLOOKUP(Tabla1[[#This Row],[LISTA EN LA CONVENCIÓN]],ref!A$11:B$21,2,FALSE)</f>
        <v>10</v>
      </c>
      <c r="L8" s="1">
        <v>17</v>
      </c>
      <c r="M8" s="1">
        <f>VLOOKUP(C8,inp_ip_mp!$B$2:$C$156,2,FALSE)</f>
        <v>0</v>
      </c>
    </row>
    <row r="9" spans="1:13" x14ac:dyDescent="0.35">
      <c r="A9" s="1">
        <v>8</v>
      </c>
      <c r="B9" s="1" t="s">
        <v>230</v>
      </c>
      <c r="C9" s="1">
        <v>8</v>
      </c>
      <c r="D9" s="1" t="s">
        <v>436</v>
      </c>
      <c r="E9" s="1">
        <f>VLOOKUP(C9,Tabla1[[id]:[EDAD]],4,FALSE)</f>
        <v>40</v>
      </c>
      <c r="F9" s="1">
        <f>IF(Tabla1[[#This Row],[SEXO]]="Masculino",0,1)</f>
        <v>0</v>
      </c>
      <c r="G9" s="1">
        <f>VLOOKUP(C9,Tabla1[[id]:[DISTRITO ]],6,FALSE)</f>
        <v>17</v>
      </c>
      <c r="H9" s="1">
        <f>VLOOKUP(Tabla1[[#This Row],[PACTO POR EL QUE FUE ELECTO]],ref!$A$2:$B$8,2,FALSE)</f>
        <v>7</v>
      </c>
      <c r="I9" s="1">
        <f>IF(Tabla1[[#This Row],[CAMBIO DE PACTO DURANTE CONVENCIÓN]]="",0,1)</f>
        <v>0</v>
      </c>
      <c r="J9" s="1">
        <f>IF(Tabla1[[#This Row],[PUEBLO ORIGINARIO]]="",0,1)</f>
        <v>0</v>
      </c>
      <c r="K9" s="1">
        <f>VLOOKUP(Tabla1[[#This Row],[LISTA EN LA CONVENCIÓN]],ref!A$11:B$21,2,FALSE)</f>
        <v>11</v>
      </c>
      <c r="L9" s="1">
        <v>0</v>
      </c>
      <c r="M9" s="1">
        <f>VLOOKUP(C9,inp_ip_mp!$B$2:$C$156,2,FALSE)</f>
        <v>1</v>
      </c>
    </row>
    <row r="10" spans="1:13" x14ac:dyDescent="0.35">
      <c r="A10" s="1">
        <v>9</v>
      </c>
      <c r="B10" s="1" t="s">
        <v>231</v>
      </c>
      <c r="C10" s="1">
        <v>9</v>
      </c>
      <c r="D10" s="1" t="s">
        <v>504</v>
      </c>
      <c r="E10" s="1">
        <f>VLOOKUP(C10,Tabla1[[id]:[EDAD]],4,FALSE)</f>
        <v>31</v>
      </c>
      <c r="F10" s="1">
        <f>IF(Tabla1[[#This Row],[SEXO]]="Masculino",0,1)</f>
        <v>1</v>
      </c>
      <c r="G10" s="1">
        <f>VLOOKUP(C10,Tabla1[[id]:[DISTRITO ]],6,FALSE)</f>
        <v>12</v>
      </c>
      <c r="H10" s="1">
        <f>VLOOKUP(Tabla1[[#This Row],[PACTO POR EL QUE FUE ELECTO]],ref!$A$2:$B$8,2,FALSE)</f>
        <v>5</v>
      </c>
      <c r="I10" s="1">
        <f>IF(Tabla1[[#This Row],[CAMBIO DE PACTO DURANTE CONVENCIÓN]]="",0,1)</f>
        <v>1</v>
      </c>
      <c r="J10" s="1">
        <f>IF(Tabla1[[#This Row],[PUEBLO ORIGINARIO]]="",0,1)</f>
        <v>0</v>
      </c>
      <c r="K10" s="1">
        <f>VLOOKUP(Tabla1[[#This Row],[LISTA EN LA CONVENCIÓN]],ref!A$11:B$21,2,FALSE)</f>
        <v>6</v>
      </c>
      <c r="L10" s="1">
        <v>0</v>
      </c>
      <c r="M10" s="1">
        <f>VLOOKUP(C10,inp_ip_mp!$B$2:$C$156,2,FALSE)</f>
        <v>0</v>
      </c>
    </row>
    <row r="11" spans="1:13" x14ac:dyDescent="0.35">
      <c r="A11" s="1">
        <v>10</v>
      </c>
      <c r="B11" s="1" t="s">
        <v>232</v>
      </c>
      <c r="C11" s="1">
        <v>10</v>
      </c>
      <c r="D11" s="1" t="s">
        <v>462</v>
      </c>
      <c r="E11" s="1">
        <f>VLOOKUP(C11,Tabla1[[id]:[EDAD]],4,FALSE)</f>
        <v>50</v>
      </c>
      <c r="F11" s="1">
        <f>IF(Tabla1[[#This Row],[SEXO]]="Masculino",0,1)</f>
        <v>0</v>
      </c>
      <c r="G11" s="1">
        <f>VLOOKUP(C11,Tabla1[[id]:[DISTRITO ]],6,FALSE)</f>
        <v>2</v>
      </c>
      <c r="H11" s="1">
        <f>VLOOKUP(Tabla1[[#This Row],[PACTO POR EL QUE FUE ELECTO]],ref!$A$2:$B$8,2,FALSE)</f>
        <v>7</v>
      </c>
      <c r="I11" s="1">
        <f>IF(Tabla1[[#This Row],[CAMBIO DE PACTO DURANTE CONVENCIÓN]]="",0,1)</f>
        <v>0</v>
      </c>
      <c r="J11" s="1">
        <f>IF(Tabla1[[#This Row],[PUEBLO ORIGINARIO]]="",0,1)</f>
        <v>0</v>
      </c>
      <c r="K11" s="1">
        <f>VLOOKUP(Tabla1[[#This Row],[LISTA EN LA CONVENCIÓN]],ref!A$11:B$21,2,FALSE)</f>
        <v>11</v>
      </c>
      <c r="L11" s="1">
        <v>7</v>
      </c>
      <c r="M11" s="1">
        <f>VLOOKUP(C11,inp_ip_mp!$B$2:$C$156,2,FALSE)</f>
        <v>2</v>
      </c>
    </row>
    <row r="12" spans="1:13" x14ac:dyDescent="0.35">
      <c r="A12" s="1">
        <v>11</v>
      </c>
      <c r="B12" s="1" t="s">
        <v>233</v>
      </c>
      <c r="C12" s="1">
        <v>11</v>
      </c>
      <c r="D12" s="1" t="s">
        <v>414</v>
      </c>
      <c r="E12" s="1">
        <f>VLOOKUP(C12,Tabla1[[id]:[EDAD]],4,FALSE)</f>
        <v>45</v>
      </c>
      <c r="F12" s="1">
        <f>IF(Tabla1[[#This Row],[SEXO]]="Masculino",0,1)</f>
        <v>0</v>
      </c>
      <c r="G12" s="1">
        <f>VLOOKUP(C12,Tabla1[[id]:[DISTRITO ]],6,FALSE)</f>
        <v>15</v>
      </c>
      <c r="H12" s="1">
        <f>VLOOKUP(Tabla1[[#This Row],[PACTO POR EL QUE FUE ELECTO]],ref!$A$2:$B$8,2,FALSE)</f>
        <v>5</v>
      </c>
      <c r="I12" s="1">
        <f>IF(Tabla1[[#This Row],[CAMBIO DE PACTO DURANTE CONVENCIÓN]]="",0,1)</f>
        <v>1</v>
      </c>
      <c r="J12" s="1">
        <f>IF(Tabla1[[#This Row],[PUEBLO ORIGINARIO]]="",0,1)</f>
        <v>0</v>
      </c>
      <c r="K12" s="1">
        <f>VLOOKUP(Tabla1[[#This Row],[LISTA EN LA CONVENCIÓN]],ref!A$11:B$21,2,FALSE)</f>
        <v>6</v>
      </c>
      <c r="L12" s="1">
        <v>0</v>
      </c>
      <c r="M12" s="1">
        <f>VLOOKUP(C12,inp_ip_mp!$B$2:$C$156,2,FALSE)</f>
        <v>0</v>
      </c>
    </row>
    <row r="13" spans="1:13" x14ac:dyDescent="0.35">
      <c r="A13" s="1">
        <v>12</v>
      </c>
      <c r="B13" s="1" t="s">
        <v>234</v>
      </c>
      <c r="C13" s="1">
        <v>12</v>
      </c>
      <c r="D13" s="1" t="s">
        <v>527</v>
      </c>
      <c r="E13" s="1">
        <f>VLOOKUP(C13,Tabla1[[id]:[EDAD]],4,FALSE)</f>
        <v>51</v>
      </c>
      <c r="F13" s="1">
        <f>IF(Tabla1[[#This Row],[SEXO]]="Masculino",0,1)</f>
        <v>1</v>
      </c>
      <c r="G13" s="1">
        <f>VLOOKUP(C13,Tabla1[[id]:[DISTRITO ]],6,FALSE)</f>
        <v>20</v>
      </c>
      <c r="H13" s="1">
        <f>VLOOKUP(Tabla1[[#This Row],[PACTO POR EL QUE FUE ELECTO]],ref!$A$2:$B$8,2,FALSE)</f>
        <v>2</v>
      </c>
      <c r="I13" s="1">
        <f>IF(Tabla1[[#This Row],[CAMBIO DE PACTO DURANTE CONVENCIÓN]]="",0,1)</f>
        <v>0</v>
      </c>
      <c r="J13" s="1">
        <f>IF(Tabla1[[#This Row],[PUEBLO ORIGINARIO]]="",0,1)</f>
        <v>0</v>
      </c>
      <c r="K13" s="1">
        <f>VLOOKUP(Tabla1[[#This Row],[LISTA EN LA CONVENCIÓN]],ref!A$11:B$21,2,FALSE)</f>
        <v>4</v>
      </c>
      <c r="L13" s="1">
        <v>8</v>
      </c>
      <c r="M13" s="1">
        <f>VLOOKUP(C13,inp_ip_mp!$B$2:$C$156,2,FALSE)</f>
        <v>2</v>
      </c>
    </row>
    <row r="14" spans="1:13" x14ac:dyDescent="0.35">
      <c r="A14" s="1">
        <v>13</v>
      </c>
      <c r="B14" s="1" t="s">
        <v>235</v>
      </c>
      <c r="C14" s="1">
        <v>13</v>
      </c>
      <c r="D14" s="1" t="s">
        <v>493</v>
      </c>
      <c r="E14" s="1">
        <f>VLOOKUP(C14,Tabla1[[id]:[EDAD]],4,FALSE)</f>
        <v>48</v>
      </c>
      <c r="F14" s="1">
        <f>IF(Tabla1[[#This Row],[SEXO]]="Masculino",0,1)</f>
        <v>0</v>
      </c>
      <c r="G14" s="1">
        <f>VLOOKUP(C14,Tabla1[[id]:[DISTRITO ]],6,FALSE)</f>
        <v>20</v>
      </c>
      <c r="H14" s="1">
        <f>VLOOKUP(Tabla1[[#This Row],[PACTO POR EL QUE FUE ELECTO]],ref!$A$2:$B$8,2,FALSE)</f>
        <v>1</v>
      </c>
      <c r="I14" s="1">
        <f>IF(Tabla1[[#This Row],[CAMBIO DE PACTO DURANTE CONVENCIÓN]]="",0,1)</f>
        <v>0</v>
      </c>
      <c r="J14" s="1">
        <f>IF(Tabla1[[#This Row],[PUEBLO ORIGINARIO]]="",0,1)</f>
        <v>0</v>
      </c>
      <c r="K14" s="1">
        <f>VLOOKUP(Tabla1[[#This Row],[LISTA EN LA CONVENCIÓN]],ref!A$11:B$21,2,FALSE)</f>
        <v>3</v>
      </c>
      <c r="L14" s="1">
        <v>0</v>
      </c>
      <c r="M14" s="1">
        <f>VLOOKUP(C14,inp_ip_mp!$B$2:$C$156,2,FALSE)</f>
        <v>1</v>
      </c>
    </row>
    <row r="15" spans="1:13" x14ac:dyDescent="0.35">
      <c r="A15" s="1">
        <v>14</v>
      </c>
      <c r="B15" s="1" t="s">
        <v>236</v>
      </c>
      <c r="C15" s="1">
        <v>14</v>
      </c>
      <c r="D15" s="1" t="s">
        <v>488</v>
      </c>
      <c r="E15" s="1">
        <f>VLOOKUP(C15,Tabla1[[id]:[EDAD]],4,FALSE)</f>
        <v>57</v>
      </c>
      <c r="F15" s="1">
        <f>IF(Tabla1[[#This Row],[SEXO]]="Masculino",0,1)</f>
        <v>1</v>
      </c>
      <c r="G15" s="1">
        <f>VLOOKUP(C15,Tabla1[[id]:[DISTRITO ]],6,FALSE)</f>
        <v>24</v>
      </c>
      <c r="H15" s="1">
        <f>VLOOKUP(Tabla1[[#This Row],[PACTO POR EL QUE FUE ELECTO]],ref!$A$2:$B$8,2,FALSE)</f>
        <v>2</v>
      </c>
      <c r="I15" s="1">
        <f>IF(Tabla1[[#This Row],[CAMBIO DE PACTO DURANTE CONVENCIÓN]]="",0,1)</f>
        <v>0</v>
      </c>
      <c r="J15" s="1">
        <f>IF(Tabla1[[#This Row],[PUEBLO ORIGINARIO]]="",0,1)</f>
        <v>0</v>
      </c>
      <c r="K15" s="1">
        <f>VLOOKUP(Tabla1[[#This Row],[LISTA EN LA CONVENCIÓN]],ref!A$11:B$21,2,FALSE)</f>
        <v>4</v>
      </c>
      <c r="L15" s="1">
        <v>0</v>
      </c>
      <c r="M15" s="1">
        <f>VLOOKUP(C15,inp_ip_mp!$B$2:$C$156,2,FALSE)</f>
        <v>1</v>
      </c>
    </row>
    <row r="16" spans="1:13" x14ac:dyDescent="0.35">
      <c r="A16" s="1">
        <v>15</v>
      </c>
      <c r="B16" s="1" t="s">
        <v>237</v>
      </c>
      <c r="C16" s="1">
        <v>15</v>
      </c>
      <c r="D16" s="1" t="s">
        <v>420</v>
      </c>
      <c r="E16" s="1">
        <f>VLOOKUP(C16,Tabla1[[id]:[EDAD]],4,FALSE)</f>
        <v>49</v>
      </c>
      <c r="F16" s="1">
        <f>IF(Tabla1[[#This Row],[SEXO]]="Masculino",0,1)</f>
        <v>1</v>
      </c>
      <c r="G16" s="1">
        <f>VLOOKUP(C16,Tabla1[[id]:[DISTRITO ]],6,FALSE)</f>
        <v>17</v>
      </c>
      <c r="H16" s="1">
        <f>VLOOKUP(Tabla1[[#This Row],[PACTO POR EL QUE FUE ELECTO]],ref!$A$2:$B$8,2,FALSE)</f>
        <v>7</v>
      </c>
      <c r="I16" s="1">
        <f>IF(Tabla1[[#This Row],[CAMBIO DE PACTO DURANTE CONVENCIÓN]]="",0,1)</f>
        <v>0</v>
      </c>
      <c r="J16" s="1">
        <f>IF(Tabla1[[#This Row],[PUEBLO ORIGINARIO]]="",0,1)</f>
        <v>0</v>
      </c>
      <c r="K16" s="1">
        <f>VLOOKUP(Tabla1[[#This Row],[LISTA EN LA CONVENCIÓN]],ref!A$11:B$21,2,FALSE)</f>
        <v>11</v>
      </c>
      <c r="L16" s="1">
        <v>0</v>
      </c>
      <c r="M16" s="1">
        <f>VLOOKUP(C16,inp_ip_mp!$B$2:$C$156,2,FALSE)</f>
        <v>1</v>
      </c>
    </row>
    <row r="17" spans="1:13" x14ac:dyDescent="0.35">
      <c r="A17" s="1">
        <v>16</v>
      </c>
      <c r="B17" s="1" t="s">
        <v>238</v>
      </c>
      <c r="C17" s="1">
        <v>16</v>
      </c>
      <c r="D17" s="1" t="s">
        <v>410</v>
      </c>
      <c r="E17" s="1">
        <f>VLOOKUP(C17,Tabla1[[id]:[EDAD]],4,FALSE)</f>
        <v>36</v>
      </c>
      <c r="F17" s="1">
        <f>IF(Tabla1[[#This Row],[SEXO]]="Masculino",0,1)</f>
        <v>1</v>
      </c>
      <c r="G17" s="1">
        <f>VLOOKUP(C17,Tabla1[[id]:[DISTRITO ]],6,FALSE)</f>
        <v>9</v>
      </c>
      <c r="H17" s="1">
        <f>VLOOKUP(Tabla1[[#This Row],[PACTO POR EL QUE FUE ELECTO]],ref!$A$2:$B$8,2,FALSE)</f>
        <v>2</v>
      </c>
      <c r="I17" s="1">
        <f>IF(Tabla1[[#This Row],[CAMBIO DE PACTO DURANTE CONVENCIÓN]]="",0,1)</f>
        <v>0</v>
      </c>
      <c r="J17" s="1">
        <f>IF(Tabla1[[#This Row],[PUEBLO ORIGINARIO]]="",0,1)</f>
        <v>0</v>
      </c>
      <c r="K17" s="1">
        <f>VLOOKUP(Tabla1[[#This Row],[LISTA EN LA CONVENCIÓN]],ref!A$11:B$21,2,FALSE)</f>
        <v>1</v>
      </c>
      <c r="L17" s="1">
        <v>1</v>
      </c>
      <c r="M17" s="1">
        <f>VLOOKUP(C17,inp_ip_mp!$B$2:$C$156,2,FALSE)</f>
        <v>2</v>
      </c>
    </row>
    <row r="18" spans="1:13" x14ac:dyDescent="0.35">
      <c r="A18" s="1">
        <v>17</v>
      </c>
      <c r="B18" s="1" t="s">
        <v>239</v>
      </c>
      <c r="C18" s="1">
        <v>17</v>
      </c>
      <c r="D18" s="1" t="s">
        <v>460</v>
      </c>
      <c r="E18" s="1">
        <f>VLOOKUP(C18,Tabla1[[id]:[EDAD]],4,FALSE)</f>
        <v>32</v>
      </c>
      <c r="F18" s="1">
        <f>IF(Tabla1[[#This Row],[SEXO]]="Masculino",0,1)</f>
        <v>0</v>
      </c>
      <c r="G18" s="1">
        <f>VLOOKUP(C18,Tabla1[[id]:[DISTRITO ]],6,FALSE)</f>
        <v>20</v>
      </c>
      <c r="H18" s="1">
        <f>VLOOKUP(Tabla1[[#This Row],[PACTO POR EL QUE FUE ELECTO]],ref!$A$2:$B$8,2,FALSE)</f>
        <v>5</v>
      </c>
      <c r="I18" s="1">
        <f>IF(Tabla1[[#This Row],[CAMBIO DE PACTO DURANTE CONVENCIÓN]]="",0,1)</f>
        <v>1</v>
      </c>
      <c r="J18" s="1">
        <f>IF(Tabla1[[#This Row],[PUEBLO ORIGINARIO]]="",0,1)</f>
        <v>0</v>
      </c>
      <c r="K18" s="1">
        <f>VLOOKUP(Tabla1[[#This Row],[LISTA EN LA CONVENCIÓN]],ref!A$11:B$21,2,FALSE)</f>
        <v>6</v>
      </c>
      <c r="L18" s="1">
        <v>0</v>
      </c>
      <c r="M18" s="1">
        <f>VLOOKUP(C18,inp_ip_mp!$B$2:$C$156,2,FALSE)</f>
        <v>0</v>
      </c>
    </row>
    <row r="19" spans="1:13" x14ac:dyDescent="0.35">
      <c r="A19" s="1">
        <v>18</v>
      </c>
      <c r="B19" s="1" t="s">
        <v>240</v>
      </c>
      <c r="C19" s="1">
        <v>18</v>
      </c>
      <c r="D19" s="1" t="s">
        <v>404</v>
      </c>
      <c r="E19" s="1">
        <f>VLOOKUP(C19,Tabla1[[id]:[EDAD]],4,FALSE)</f>
        <v>51</v>
      </c>
      <c r="F19" s="1">
        <f>IF(Tabla1[[#This Row],[SEXO]]="Masculino",0,1)</f>
        <v>1</v>
      </c>
      <c r="G19" s="1">
        <f>VLOOKUP(C19,Tabla1[[id]:[DISTRITO ]],6,FALSE)</f>
        <v>12</v>
      </c>
      <c r="H19" s="1">
        <f>VLOOKUP(Tabla1[[#This Row],[PACTO POR EL QUE FUE ELECTO]],ref!$A$2:$B$8,2,FALSE)</f>
        <v>2</v>
      </c>
      <c r="I19" s="1">
        <f>IF(Tabla1[[#This Row],[CAMBIO DE PACTO DURANTE CONVENCIÓN]]="",0,1)</f>
        <v>0</v>
      </c>
      <c r="J19" s="1">
        <f>IF(Tabla1[[#This Row],[PUEBLO ORIGINARIO]]="",0,1)</f>
        <v>0</v>
      </c>
      <c r="K19" s="1">
        <f>VLOOKUP(Tabla1[[#This Row],[LISTA EN LA CONVENCIÓN]],ref!A$11:B$21,2,FALSE)</f>
        <v>4</v>
      </c>
      <c r="L19" s="1">
        <v>0</v>
      </c>
      <c r="M19" s="1">
        <f>VLOOKUP(C19,inp_ip_mp!$B$2:$C$156,2,FALSE)</f>
        <v>1</v>
      </c>
    </row>
    <row r="20" spans="1:13" x14ac:dyDescent="0.35">
      <c r="A20" s="1">
        <v>19</v>
      </c>
      <c r="B20" s="1" t="s">
        <v>241</v>
      </c>
      <c r="C20" s="1">
        <v>19</v>
      </c>
      <c r="D20" s="1" t="s">
        <v>516</v>
      </c>
      <c r="E20" s="1">
        <f>VLOOKUP(C20,Tabla1[[id]:[EDAD]],4,FALSE)</f>
        <v>63</v>
      </c>
      <c r="F20" s="1">
        <f>IF(Tabla1[[#This Row],[SEXO]]="Masculino",0,1)</f>
        <v>0</v>
      </c>
      <c r="G20" s="1">
        <f>VLOOKUP(C20,Tabla1[[id]:[DISTRITO ]],6,FALSE)</f>
        <v>12</v>
      </c>
      <c r="H20" s="1">
        <f>VLOOKUP(Tabla1[[#This Row],[PACTO POR EL QUE FUE ELECTO]],ref!$A$2:$B$8,2,FALSE)</f>
        <v>4</v>
      </c>
      <c r="I20" s="1">
        <f>IF(Tabla1[[#This Row],[CAMBIO DE PACTO DURANTE CONVENCIÓN]]="",0,1)</f>
        <v>0</v>
      </c>
      <c r="J20" s="1">
        <f>IF(Tabla1[[#This Row],[PUEBLO ORIGINARIO]]="",0,1)</f>
        <v>0</v>
      </c>
      <c r="K20" s="1">
        <f>VLOOKUP(Tabla1[[#This Row],[LISTA EN LA CONVENCIÓN]],ref!A$11:B$21,2,FALSE)</f>
        <v>7</v>
      </c>
      <c r="L20" s="1">
        <v>0</v>
      </c>
      <c r="M20" s="1">
        <f>VLOOKUP(C20,inp_ip_mp!$B$2:$C$156,2,FALSE)</f>
        <v>0</v>
      </c>
    </row>
    <row r="21" spans="1:13" x14ac:dyDescent="0.35">
      <c r="A21" s="1">
        <v>20</v>
      </c>
      <c r="B21" s="1" t="s">
        <v>242</v>
      </c>
      <c r="C21" s="1">
        <v>20</v>
      </c>
      <c r="D21" s="1" t="s">
        <v>489</v>
      </c>
      <c r="E21" s="1">
        <f>VLOOKUP(C21,Tabla1[[id]:[EDAD]],4,FALSE)</f>
        <v>76</v>
      </c>
      <c r="F21" s="1">
        <f>IF(Tabla1[[#This Row],[SEXO]]="Masculino",0,1)</f>
        <v>0</v>
      </c>
      <c r="G21" s="1">
        <f>VLOOKUP(C21,Tabla1[[id]:[DISTRITO ]],6,FALSE)</f>
        <v>8</v>
      </c>
      <c r="H21" s="1">
        <f>VLOOKUP(Tabla1[[#This Row],[PACTO POR EL QUE FUE ELECTO]],ref!$A$2:$B$8,2,FALSE)</f>
        <v>7</v>
      </c>
      <c r="I21" s="1">
        <f>IF(Tabla1[[#This Row],[CAMBIO DE PACTO DURANTE CONVENCIÓN]]="",0,1)</f>
        <v>0</v>
      </c>
      <c r="J21" s="1">
        <f>IF(Tabla1[[#This Row],[PUEBLO ORIGINARIO]]="",0,1)</f>
        <v>0</v>
      </c>
      <c r="K21" s="1">
        <f>VLOOKUP(Tabla1[[#This Row],[LISTA EN LA CONVENCIÓN]],ref!A$11:B$21,2,FALSE)</f>
        <v>11</v>
      </c>
      <c r="L21" s="1">
        <v>0</v>
      </c>
      <c r="M21" s="1">
        <f>VLOOKUP(C21,inp_ip_mp!$B$2:$C$156,2,FALSE)</f>
        <v>1</v>
      </c>
    </row>
    <row r="22" spans="1:13" x14ac:dyDescent="0.35">
      <c r="A22" s="1">
        <v>21</v>
      </c>
      <c r="B22" s="1" t="s">
        <v>243</v>
      </c>
      <c r="C22" s="1">
        <v>21</v>
      </c>
      <c r="D22" s="1" t="s">
        <v>483</v>
      </c>
      <c r="E22" s="1">
        <f>VLOOKUP(C22,Tabla1[[id]:[EDAD]],4,FALSE)</f>
        <v>57</v>
      </c>
      <c r="F22" s="1">
        <f>IF(Tabla1[[#This Row],[SEXO]]="Masculino",0,1)</f>
        <v>0</v>
      </c>
      <c r="G22" s="1">
        <f>VLOOKUP(C22,Tabla1[[id]:[DISTRITO ]],6,FALSE)</f>
        <v>11</v>
      </c>
      <c r="H22" s="1">
        <f>VLOOKUP(Tabla1[[#This Row],[PACTO POR EL QUE FUE ELECTO]],ref!$A$2:$B$8,2,FALSE)</f>
        <v>7</v>
      </c>
      <c r="I22" s="1">
        <f>IF(Tabla1[[#This Row],[CAMBIO DE PACTO DURANTE CONVENCIÓN]]="",0,1)</f>
        <v>0</v>
      </c>
      <c r="J22" s="1">
        <f>IF(Tabla1[[#This Row],[PUEBLO ORIGINARIO]]="",0,1)</f>
        <v>0</v>
      </c>
      <c r="K22" s="1">
        <f>VLOOKUP(Tabla1[[#This Row],[LISTA EN LA CONVENCIÓN]],ref!A$11:B$21,2,FALSE)</f>
        <v>11</v>
      </c>
      <c r="L22" s="1">
        <v>0</v>
      </c>
      <c r="M22" s="1">
        <f>VLOOKUP(C22,inp_ip_mp!$B$2:$C$156,2,FALSE)</f>
        <v>1</v>
      </c>
    </row>
    <row r="23" spans="1:13" x14ac:dyDescent="0.35">
      <c r="A23" s="1">
        <v>22</v>
      </c>
      <c r="B23" s="1" t="s">
        <v>244</v>
      </c>
      <c r="C23" s="1">
        <v>22</v>
      </c>
      <c r="D23" s="1" t="s">
        <v>481</v>
      </c>
      <c r="E23" s="1">
        <f>VLOOKUP(C23,Tabla1[[id]:[EDAD]],4,FALSE)</f>
        <v>37</v>
      </c>
      <c r="F23" s="1">
        <f>IF(Tabla1[[#This Row],[SEXO]]="Masculino",0,1)</f>
        <v>1</v>
      </c>
      <c r="G23" s="1">
        <f>VLOOKUP(C23,Tabla1[[id]:[DISTRITO ]],6,FALSE)</f>
        <v>8</v>
      </c>
      <c r="H23" s="1">
        <f>VLOOKUP(Tabla1[[#This Row],[PACTO POR EL QUE FUE ELECTO]],ref!$A$2:$B$8,2,FALSE)</f>
        <v>1</v>
      </c>
      <c r="I23" s="1">
        <f>IF(Tabla1[[#This Row],[CAMBIO DE PACTO DURANTE CONVENCIÓN]]="",0,1)</f>
        <v>0</v>
      </c>
      <c r="J23" s="1">
        <f>IF(Tabla1[[#This Row],[PUEBLO ORIGINARIO]]="",0,1)</f>
        <v>0</v>
      </c>
      <c r="K23" s="1">
        <f>VLOOKUP(Tabla1[[#This Row],[LISTA EN LA CONVENCIÓN]],ref!A$11:B$21,2,FALSE)</f>
        <v>2</v>
      </c>
      <c r="L23" s="1">
        <v>0</v>
      </c>
      <c r="M23" s="1">
        <f>VLOOKUP(C23,inp_ip_mp!$B$2:$C$156,2,FALSE)</f>
        <v>1</v>
      </c>
    </row>
    <row r="24" spans="1:13" x14ac:dyDescent="0.35">
      <c r="A24" s="1">
        <v>23</v>
      </c>
      <c r="B24" s="1" t="s">
        <v>245</v>
      </c>
      <c r="C24" s="1">
        <v>23</v>
      </c>
      <c r="D24" s="1" t="s">
        <v>382</v>
      </c>
      <c r="E24" s="1">
        <f>VLOOKUP(C24,Tabla1[[id]:[EDAD]],4,FALSE)</f>
        <v>20</v>
      </c>
      <c r="F24" s="1">
        <f>IF(Tabla1[[#This Row],[SEXO]]="Masculino",0,1)</f>
        <v>1</v>
      </c>
      <c r="G24" s="1">
        <f>VLOOKUP(C24,Tabla1[[id]:[DISTRITO ]],6,FALSE)</f>
        <v>7</v>
      </c>
      <c r="H24" s="1">
        <f>VLOOKUP(Tabla1[[#This Row],[PACTO POR EL QUE FUE ELECTO]],ref!$A$2:$B$8,2,FALSE)</f>
        <v>3</v>
      </c>
      <c r="I24" s="1">
        <f>IF(Tabla1[[#This Row],[CAMBIO DE PACTO DURANTE CONVENCIÓN]]="",0,1)</f>
        <v>1</v>
      </c>
      <c r="J24" s="1">
        <f>IF(Tabla1[[#This Row],[PUEBLO ORIGINARIO]]="",0,1)</f>
        <v>0</v>
      </c>
      <c r="K24" s="1">
        <f>VLOOKUP(Tabla1[[#This Row],[LISTA EN LA CONVENCIÓN]],ref!A$11:B$21,2,FALSE)</f>
        <v>9</v>
      </c>
      <c r="L24" s="1">
        <v>0</v>
      </c>
      <c r="M24" s="1">
        <f>VLOOKUP(C24,inp_ip_mp!$B$2:$C$156,2,FALSE)</f>
        <v>0</v>
      </c>
    </row>
    <row r="25" spans="1:13" x14ac:dyDescent="0.35">
      <c r="A25" s="1">
        <v>24</v>
      </c>
      <c r="B25" s="1" t="s">
        <v>246</v>
      </c>
      <c r="C25" s="1">
        <v>24</v>
      </c>
      <c r="D25" s="1" t="s">
        <v>507</v>
      </c>
      <c r="E25" s="1">
        <f>VLOOKUP(C25,Tabla1[[id]:[EDAD]],4,FALSE)</f>
        <v>76</v>
      </c>
      <c r="F25" s="1">
        <f>IF(Tabla1[[#This Row],[SEXO]]="Masculino",0,1)</f>
        <v>0</v>
      </c>
      <c r="G25" s="1">
        <f>VLOOKUP(C25,Tabla1[[id]:[DISTRITO ]],6,FALSE)</f>
        <v>5</v>
      </c>
      <c r="H25" s="1">
        <f>VLOOKUP(Tabla1[[#This Row],[PACTO POR EL QUE FUE ELECTO]],ref!$A$2:$B$8,2,FALSE)</f>
        <v>1</v>
      </c>
      <c r="I25" s="1">
        <f>IF(Tabla1[[#This Row],[CAMBIO DE PACTO DURANTE CONVENCIÓN]]="",0,1)</f>
        <v>0</v>
      </c>
      <c r="J25" s="1">
        <f>IF(Tabla1[[#This Row],[PUEBLO ORIGINARIO]]="",0,1)</f>
        <v>0</v>
      </c>
      <c r="K25" s="1">
        <f>VLOOKUP(Tabla1[[#This Row],[LISTA EN LA CONVENCIÓN]],ref!A$11:B$21,2,FALSE)</f>
        <v>3</v>
      </c>
      <c r="L25" s="1">
        <v>0</v>
      </c>
      <c r="M25" s="1">
        <f>VLOOKUP(C25,inp_ip_mp!$B$2:$C$156,2,FALSE)</f>
        <v>1</v>
      </c>
    </row>
    <row r="26" spans="1:13" x14ac:dyDescent="0.35">
      <c r="A26" s="1">
        <v>25</v>
      </c>
      <c r="B26" s="1" t="s">
        <v>247</v>
      </c>
      <c r="C26" s="1">
        <v>25</v>
      </c>
      <c r="D26" s="1" t="s">
        <v>520</v>
      </c>
      <c r="E26" s="1">
        <f>VLOOKUP(C26,Tabla1[[id]:[EDAD]],4,FALSE)</f>
        <v>43</v>
      </c>
      <c r="F26" s="1">
        <f>IF(Tabla1[[#This Row],[SEXO]]="Masculino",0,1)</f>
        <v>0</v>
      </c>
      <c r="G26" s="1">
        <f>VLOOKUP(C26,Tabla1[[id]:[DISTRITO ]],6,FALSE)</f>
        <v>19</v>
      </c>
      <c r="H26" s="1">
        <f>VLOOKUP(Tabla1[[#This Row],[PACTO POR EL QUE FUE ELECTO]],ref!$A$2:$B$8,2,FALSE)</f>
        <v>7</v>
      </c>
      <c r="I26" s="1">
        <f>IF(Tabla1[[#This Row],[CAMBIO DE PACTO DURANTE CONVENCIÓN]]="",0,1)</f>
        <v>0</v>
      </c>
      <c r="J26" s="1">
        <f>IF(Tabla1[[#This Row],[PUEBLO ORIGINARIO]]="",0,1)</f>
        <v>0</v>
      </c>
      <c r="K26" s="1">
        <f>VLOOKUP(Tabla1[[#This Row],[LISTA EN LA CONVENCIÓN]],ref!A$11:B$21,2,FALSE)</f>
        <v>11</v>
      </c>
      <c r="L26" s="1">
        <v>10</v>
      </c>
      <c r="M26" s="1">
        <f>VLOOKUP(C26,inp_ip_mp!$B$2:$C$156,2,FALSE)</f>
        <v>2</v>
      </c>
    </row>
    <row r="27" spans="1:13" x14ac:dyDescent="0.35">
      <c r="A27" s="1">
        <v>26</v>
      </c>
      <c r="B27" s="1" t="s">
        <v>248</v>
      </c>
      <c r="C27" s="1">
        <v>26</v>
      </c>
      <c r="D27" s="1" t="s">
        <v>511</v>
      </c>
      <c r="E27" s="1">
        <f>VLOOKUP(C27,Tabla1[[id]:[EDAD]],4,FALSE)</f>
        <v>43</v>
      </c>
      <c r="F27" s="1">
        <f>IF(Tabla1[[#This Row],[SEXO]]="Masculino",0,1)</f>
        <v>1</v>
      </c>
      <c r="G27" s="1">
        <f>VLOOKUP(C27,Tabla1[[id]:[DISTRITO ]],6,FALSE)</f>
        <v>15</v>
      </c>
      <c r="H27" s="1">
        <f>VLOOKUP(Tabla1[[#This Row],[PACTO POR EL QUE FUE ELECTO]],ref!$A$2:$B$8,2,FALSE)</f>
        <v>7</v>
      </c>
      <c r="I27" s="1">
        <f>IF(Tabla1[[#This Row],[CAMBIO DE PACTO DURANTE CONVENCIÓN]]="",0,1)</f>
        <v>0</v>
      </c>
      <c r="J27" s="1">
        <f>IF(Tabla1[[#This Row],[PUEBLO ORIGINARIO]]="",0,1)</f>
        <v>0</v>
      </c>
      <c r="K27" s="1">
        <f>VLOOKUP(Tabla1[[#This Row],[LISTA EN LA CONVENCIÓN]],ref!A$11:B$21,2,FALSE)</f>
        <v>11</v>
      </c>
      <c r="L27" s="1">
        <v>10</v>
      </c>
      <c r="M27" s="1">
        <f>VLOOKUP(C27,inp_ip_mp!$B$2:$C$156,2,FALSE)</f>
        <v>2</v>
      </c>
    </row>
    <row r="28" spans="1:13" x14ac:dyDescent="0.35">
      <c r="A28" s="1">
        <v>27</v>
      </c>
      <c r="B28" s="1" t="s">
        <v>567</v>
      </c>
      <c r="C28" s="1">
        <v>27</v>
      </c>
      <c r="D28" s="1" t="s">
        <v>409</v>
      </c>
      <c r="E28" s="1">
        <f>VLOOKUP(C28,Tabla1[[id]:[EDAD]],4,FALSE)</f>
        <v>40</v>
      </c>
      <c r="F28" s="1">
        <f>IF(Tabla1[[#This Row],[SEXO]]="Masculino",0,1)</f>
        <v>1</v>
      </c>
      <c r="G28" s="1">
        <f>VLOOKUP(C28,Tabla1[[id]:[DISTRITO ]],6,FALSE)</f>
        <v>19</v>
      </c>
      <c r="H28" s="1">
        <f>VLOOKUP(Tabla1[[#This Row],[PACTO POR EL QUE FUE ELECTO]],ref!$A$2:$B$8,2,FALSE)</f>
        <v>4</v>
      </c>
      <c r="I28" s="1">
        <f>IF(Tabla1[[#This Row],[CAMBIO DE PACTO DURANTE CONVENCIÓN]]="",0,1)</f>
        <v>0</v>
      </c>
      <c r="J28" s="1">
        <f>IF(Tabla1[[#This Row],[PUEBLO ORIGINARIO]]="",0,1)</f>
        <v>0</v>
      </c>
      <c r="K28" s="1">
        <f>VLOOKUP(Tabla1[[#This Row],[LISTA EN LA CONVENCIÓN]],ref!A$11:B$21,2,FALSE)</f>
        <v>7</v>
      </c>
      <c r="L28" s="1">
        <v>0</v>
      </c>
      <c r="M28" s="1">
        <f>VLOOKUP(C28,inp_ip_mp!$B$2:$C$156,2,FALSE)</f>
        <v>0</v>
      </c>
    </row>
    <row r="29" spans="1:13" x14ac:dyDescent="0.35">
      <c r="A29" s="1">
        <v>28</v>
      </c>
      <c r="B29" s="1" t="s">
        <v>249</v>
      </c>
      <c r="C29" s="1">
        <v>28</v>
      </c>
      <c r="D29" s="1" t="s">
        <v>385</v>
      </c>
      <c r="E29" s="1">
        <f>VLOOKUP(C29,Tabla1[[id]:[EDAD]],4,FALSE)</f>
        <v>37</v>
      </c>
      <c r="F29" s="1">
        <f>IF(Tabla1[[#This Row],[SEXO]]="Masculino",0,1)</f>
        <v>1</v>
      </c>
      <c r="G29" s="1">
        <f>VLOOKUP(C29,Tabla1[[id]:[DISTRITO ]],6,FALSE)</f>
        <v>6</v>
      </c>
      <c r="H29" s="1">
        <f>VLOOKUP(Tabla1[[#This Row],[PACTO POR EL QUE FUE ELECTO]],ref!$A$2:$B$8,2,FALSE)</f>
        <v>2</v>
      </c>
      <c r="I29" s="1">
        <f>IF(Tabla1[[#This Row],[CAMBIO DE PACTO DURANTE CONVENCIÓN]]="",0,1)</f>
        <v>1</v>
      </c>
      <c r="J29" s="1">
        <f>IF(Tabla1[[#This Row],[PUEBLO ORIGINARIO]]="",0,1)</f>
        <v>0</v>
      </c>
      <c r="K29" s="1">
        <f>VLOOKUP(Tabla1[[#This Row],[LISTA EN LA CONVENCIÓN]],ref!A$11:B$21,2,FALSE)</f>
        <v>6</v>
      </c>
      <c r="L29" s="1">
        <v>99</v>
      </c>
      <c r="M29" s="1">
        <f>VLOOKUP(C29,inp_ip_mp!$B$2:$C$156,2,FALSE)</f>
        <v>1</v>
      </c>
    </row>
    <row r="30" spans="1:13" x14ac:dyDescent="0.35">
      <c r="A30" s="1">
        <v>29</v>
      </c>
      <c r="B30" s="1" t="s">
        <v>250</v>
      </c>
      <c r="C30" s="1">
        <v>29</v>
      </c>
      <c r="D30" s="1" t="s">
        <v>387</v>
      </c>
      <c r="E30" s="1">
        <f>VLOOKUP(C30,Tabla1[[id]:[EDAD]],4,FALSE)</f>
        <v>53</v>
      </c>
      <c r="F30" s="1">
        <f>IF(Tabla1[[#This Row],[SEXO]]="Masculino",0,1)</f>
        <v>1</v>
      </c>
      <c r="G30" s="1">
        <f>VLOOKUP(C30,Tabla1[[id]:[DISTRITO ]],6,FALSE)</f>
        <v>1</v>
      </c>
      <c r="H30" s="1">
        <f>VLOOKUP(Tabla1[[#This Row],[PACTO POR EL QUE FUE ELECTO]],ref!$A$2:$B$8,2,FALSE)</f>
        <v>2</v>
      </c>
      <c r="I30" s="1">
        <f>IF(Tabla1[[#This Row],[CAMBIO DE PACTO DURANTE CONVENCIÓN]]="",0,1)</f>
        <v>0</v>
      </c>
      <c r="J30" s="1">
        <f>IF(Tabla1[[#This Row],[PUEBLO ORIGINARIO]]="",0,1)</f>
        <v>0</v>
      </c>
      <c r="K30" s="1">
        <f>VLOOKUP(Tabla1[[#This Row],[LISTA EN LA CONVENCIÓN]],ref!A$11:B$21,2,FALSE)</f>
        <v>1</v>
      </c>
      <c r="L30" s="1">
        <v>1</v>
      </c>
      <c r="M30" s="1">
        <f>VLOOKUP(C30,inp_ip_mp!$B$2:$C$156,2,FALSE)</f>
        <v>2</v>
      </c>
    </row>
    <row r="31" spans="1:13" x14ac:dyDescent="0.35">
      <c r="A31" s="1">
        <v>30</v>
      </c>
      <c r="B31" s="1" t="s">
        <v>251</v>
      </c>
      <c r="C31" s="1">
        <v>30</v>
      </c>
      <c r="D31" s="1" t="s">
        <v>397</v>
      </c>
      <c r="E31" s="1">
        <f>VLOOKUP(C31,Tabla1[[id]:[EDAD]],4,FALSE)</f>
        <v>33</v>
      </c>
      <c r="F31" s="1">
        <f>IF(Tabla1[[#This Row],[SEXO]]="Masculino",0,1)</f>
        <v>0</v>
      </c>
      <c r="G31" s="1">
        <f>VLOOKUP(C31,Tabla1[[id]:[DISTRITO ]],6,FALSE)</f>
        <v>9</v>
      </c>
      <c r="H31" s="1">
        <f>VLOOKUP(Tabla1[[#This Row],[PACTO POR EL QUE FUE ELECTO]],ref!$A$2:$B$8,2,FALSE)</f>
        <v>1</v>
      </c>
      <c r="I31" s="1">
        <f>IF(Tabla1[[#This Row],[CAMBIO DE PACTO DURANTE CONVENCIÓN]]="",0,1)</f>
        <v>0</v>
      </c>
      <c r="J31" s="1">
        <f>IF(Tabla1[[#This Row],[PUEBLO ORIGINARIO]]="",0,1)</f>
        <v>0</v>
      </c>
      <c r="K31" s="1">
        <f>VLOOKUP(Tabla1[[#This Row],[LISTA EN LA CONVENCIÓN]],ref!A$11:B$21,2,FALSE)</f>
        <v>3</v>
      </c>
      <c r="L31" s="1">
        <v>9</v>
      </c>
      <c r="M31" s="1">
        <f>VLOOKUP(C31,inp_ip_mp!$B$2:$C$156,2,FALSE)</f>
        <v>2</v>
      </c>
    </row>
    <row r="32" spans="1:13" x14ac:dyDescent="0.35">
      <c r="A32" s="1">
        <v>31</v>
      </c>
      <c r="B32" s="1" t="s">
        <v>252</v>
      </c>
      <c r="C32" s="1">
        <v>31</v>
      </c>
      <c r="D32" s="1" t="s">
        <v>399</v>
      </c>
      <c r="E32" s="1">
        <f>VLOOKUP(C32,Tabla1[[id]:[EDAD]],4,FALSE)</f>
        <v>38</v>
      </c>
      <c r="F32" s="1">
        <f>IF(Tabla1[[#This Row],[SEXO]]="Masculino",0,1)</f>
        <v>0</v>
      </c>
      <c r="G32" s="1">
        <f>VLOOKUP(C32,Tabla1[[id]:[DISTRITO ]],6,FALSE)</f>
        <v>19</v>
      </c>
      <c r="H32" s="1">
        <f>VLOOKUP(Tabla1[[#This Row],[PACTO POR EL QUE FUE ELECTO]],ref!$A$2:$B$8,2,FALSE)</f>
        <v>3</v>
      </c>
      <c r="I32" s="1">
        <f>IF(Tabla1[[#This Row],[CAMBIO DE PACTO DURANTE CONVENCIÓN]]="",0,1)</f>
        <v>1</v>
      </c>
      <c r="J32" s="1">
        <f>IF(Tabla1[[#This Row],[PUEBLO ORIGINARIO]]="",0,1)</f>
        <v>0</v>
      </c>
      <c r="K32" s="1">
        <f>VLOOKUP(Tabla1[[#This Row],[LISTA EN LA CONVENCIÓN]],ref!A$11:B$21,2,FALSE)</f>
        <v>9</v>
      </c>
      <c r="L32" s="1">
        <v>0</v>
      </c>
      <c r="M32" s="1">
        <f>VLOOKUP(C32,inp_ip_mp!$B$2:$C$156,2,FALSE)</f>
        <v>0</v>
      </c>
    </row>
    <row r="33" spans="1:13" x14ac:dyDescent="0.35">
      <c r="A33" s="1">
        <v>32</v>
      </c>
      <c r="B33" s="1" t="s">
        <v>253</v>
      </c>
      <c r="C33" s="1">
        <v>32</v>
      </c>
      <c r="D33" s="1" t="s">
        <v>386</v>
      </c>
      <c r="E33" s="1">
        <f>VLOOKUP(C33,Tabla1[[id]:[EDAD]],4,FALSE)</f>
        <v>49</v>
      </c>
      <c r="F33" s="1">
        <f>IF(Tabla1[[#This Row],[SEXO]]="Masculino",0,1)</f>
        <v>0</v>
      </c>
      <c r="G33" s="1">
        <f>VLOOKUP(C33,Tabla1[[id]:[DISTRITO ]],6,FALSE)</f>
        <v>17</v>
      </c>
      <c r="H33" s="1">
        <f>VLOOKUP(Tabla1[[#This Row],[PACTO POR EL QUE FUE ELECTO]],ref!$A$2:$B$8,2,FALSE)</f>
        <v>1</v>
      </c>
      <c r="I33" s="1">
        <f>IF(Tabla1[[#This Row],[CAMBIO DE PACTO DURANTE CONVENCIÓN]]="",0,1)</f>
        <v>0</v>
      </c>
      <c r="J33" s="1">
        <f>IF(Tabla1[[#This Row],[PUEBLO ORIGINARIO]]="",0,1)</f>
        <v>0</v>
      </c>
      <c r="K33" s="1">
        <f>VLOOKUP(Tabla1[[#This Row],[LISTA EN LA CONVENCIÓN]],ref!A$11:B$21,2,FALSE)</f>
        <v>4</v>
      </c>
      <c r="L33" s="1">
        <v>0</v>
      </c>
      <c r="M33" s="1">
        <f>VLOOKUP(C33,inp_ip_mp!$B$2:$C$156,2,FALSE)</f>
        <v>1</v>
      </c>
    </row>
    <row r="34" spans="1:13" x14ac:dyDescent="0.35">
      <c r="A34" s="1">
        <v>33</v>
      </c>
      <c r="B34" s="1" t="s">
        <v>254</v>
      </c>
      <c r="C34" s="1">
        <v>33</v>
      </c>
      <c r="D34" s="1" t="s">
        <v>501</v>
      </c>
      <c r="E34" s="1">
        <f>VLOOKUP(C34,Tabla1[[id]:[EDAD]],4,FALSE)</f>
        <v>54</v>
      </c>
      <c r="F34" s="1">
        <f>IF(Tabla1[[#This Row],[SEXO]]="Masculino",0,1)</f>
        <v>1</v>
      </c>
      <c r="G34" s="1">
        <f>VLOOKUP(C34,Tabla1[[id]:[DISTRITO ]],6,FALSE)</f>
        <v>14</v>
      </c>
      <c r="H34" s="1">
        <f>VLOOKUP(Tabla1[[#This Row],[PACTO POR EL QUE FUE ELECTO]],ref!$A$2:$B$8,2,FALSE)</f>
        <v>7</v>
      </c>
      <c r="I34" s="1">
        <f>IF(Tabla1[[#This Row],[CAMBIO DE PACTO DURANTE CONVENCIÓN]]="",0,1)</f>
        <v>0</v>
      </c>
      <c r="J34" s="1">
        <f>IF(Tabla1[[#This Row],[PUEBLO ORIGINARIO]]="",0,1)</f>
        <v>0</v>
      </c>
      <c r="K34" s="1">
        <f>VLOOKUP(Tabla1[[#This Row],[LISTA EN LA CONVENCIÓN]],ref!A$11:B$21,2,FALSE)</f>
        <v>11</v>
      </c>
      <c r="L34" s="1">
        <v>0</v>
      </c>
      <c r="M34" s="1">
        <f>VLOOKUP(C34,inp_ip_mp!$B$2:$C$156,2,FALSE)</f>
        <v>1</v>
      </c>
    </row>
    <row r="35" spans="1:13" x14ac:dyDescent="0.35">
      <c r="A35" s="1">
        <v>34</v>
      </c>
      <c r="B35" s="1" t="s">
        <v>255</v>
      </c>
      <c r="C35" s="1">
        <v>34</v>
      </c>
      <c r="D35" s="1" t="s">
        <v>455</v>
      </c>
      <c r="E35" s="1">
        <f>VLOOKUP(C35,Tabla1[[id]:[EDAD]],4,FALSE)</f>
        <v>41</v>
      </c>
      <c r="F35" s="1">
        <f>IF(Tabla1[[#This Row],[SEXO]]="Masculino",0,1)</f>
        <v>1</v>
      </c>
      <c r="G35" s="1">
        <f>VLOOKUP(C35,Tabla1[[id]:[DISTRITO ]],6,FALSE)</f>
        <v>17</v>
      </c>
      <c r="H35" s="1">
        <f>VLOOKUP(Tabla1[[#This Row],[PACTO POR EL QUE FUE ELECTO]],ref!$A$2:$B$8,2,FALSE)</f>
        <v>7</v>
      </c>
      <c r="I35" s="1">
        <f>IF(Tabla1[[#This Row],[CAMBIO DE PACTO DURANTE CONVENCIÓN]]="",0,1)</f>
        <v>0</v>
      </c>
      <c r="J35" s="1">
        <f>IF(Tabla1[[#This Row],[PUEBLO ORIGINARIO]]="",0,1)</f>
        <v>0</v>
      </c>
      <c r="K35" s="1">
        <f>VLOOKUP(Tabla1[[#This Row],[LISTA EN LA CONVENCIÓN]],ref!A$11:B$21,2,FALSE)</f>
        <v>11</v>
      </c>
      <c r="L35" s="1">
        <v>10</v>
      </c>
      <c r="M35" s="1">
        <f>VLOOKUP(C35,inp_ip_mp!$B$2:$C$156,2,FALSE)</f>
        <v>2</v>
      </c>
    </row>
    <row r="36" spans="1:13" x14ac:dyDescent="0.35">
      <c r="A36" s="1">
        <v>35</v>
      </c>
      <c r="B36" s="1" t="s">
        <v>256</v>
      </c>
      <c r="C36" s="1">
        <v>35</v>
      </c>
      <c r="D36" s="1" t="s">
        <v>471</v>
      </c>
      <c r="E36" s="1">
        <f>VLOOKUP(C36,Tabla1[[id]:[EDAD]],4,FALSE)</f>
        <v>44</v>
      </c>
      <c r="F36" s="1">
        <f>IF(Tabla1[[#This Row],[SEXO]]="Masculino",0,1)</f>
        <v>0</v>
      </c>
      <c r="G36" s="1">
        <f>VLOOKUP(C36,Tabla1[[id]:[DISTRITO ]],6,FALSE)</f>
        <v>6</v>
      </c>
      <c r="H36" s="1">
        <f>VLOOKUP(Tabla1[[#This Row],[PACTO POR EL QUE FUE ELECTO]],ref!$A$2:$B$8,2,FALSE)</f>
        <v>1</v>
      </c>
      <c r="I36" s="1">
        <f>IF(Tabla1[[#This Row],[CAMBIO DE PACTO DURANTE CONVENCIÓN]]="",0,1)</f>
        <v>0</v>
      </c>
      <c r="J36" s="1">
        <f>IF(Tabla1[[#This Row],[PUEBLO ORIGINARIO]]="",0,1)</f>
        <v>0</v>
      </c>
      <c r="K36" s="1">
        <f>VLOOKUP(Tabla1[[#This Row],[LISTA EN LA CONVENCIÓN]],ref!A$11:B$21,2,FALSE)</f>
        <v>3</v>
      </c>
      <c r="L36" s="1">
        <v>0</v>
      </c>
      <c r="M36" s="1">
        <f>VLOOKUP(C36,inp_ip_mp!$B$2:$C$156,2,FALSE)</f>
        <v>1</v>
      </c>
    </row>
    <row r="37" spans="1:13" x14ac:dyDescent="0.35">
      <c r="A37" s="1">
        <v>36</v>
      </c>
      <c r="B37" s="1" t="s">
        <v>257</v>
      </c>
      <c r="C37" s="1">
        <v>36</v>
      </c>
      <c r="D37" s="1" t="s">
        <v>412</v>
      </c>
      <c r="E37" s="1">
        <f>VLOOKUP(C37,Tabla1[[id]:[EDAD]],4,FALSE)</f>
        <v>36</v>
      </c>
      <c r="F37" s="1">
        <f>IF(Tabla1[[#This Row],[SEXO]]="Masculino",0,1)</f>
        <v>1</v>
      </c>
      <c r="G37" s="1">
        <f>VLOOKUP(C37,Tabla1[[id]:[DISTRITO ]],6,FALSE)</f>
        <v>4</v>
      </c>
      <c r="H37" s="1">
        <f>VLOOKUP(Tabla1[[#This Row],[PACTO POR EL QUE FUE ELECTO]],ref!$A$2:$B$8,2,FALSE)</f>
        <v>3</v>
      </c>
      <c r="I37" s="1">
        <f>IF(Tabla1[[#This Row],[CAMBIO DE PACTO DURANTE CONVENCIÓN]]="",0,1)</f>
        <v>1</v>
      </c>
      <c r="J37" s="1">
        <f>IF(Tabla1[[#This Row],[PUEBLO ORIGINARIO]]="",0,1)</f>
        <v>0</v>
      </c>
      <c r="K37" s="1">
        <f>VLOOKUP(Tabla1[[#This Row],[LISTA EN LA CONVENCIÓN]],ref!A$11:B$21,2,FALSE)</f>
        <v>6</v>
      </c>
      <c r="L37" s="1">
        <v>0</v>
      </c>
      <c r="M37" s="1">
        <f>VLOOKUP(C37,inp_ip_mp!$B$2:$C$156,2,FALSE)</f>
        <v>0</v>
      </c>
    </row>
    <row r="38" spans="1:13" x14ac:dyDescent="0.35">
      <c r="A38" s="1">
        <v>37</v>
      </c>
      <c r="B38" s="1" t="s">
        <v>258</v>
      </c>
      <c r="C38" s="1">
        <v>37</v>
      </c>
      <c r="D38" s="1" t="s">
        <v>411</v>
      </c>
      <c r="E38" s="1">
        <f>VLOOKUP(C38,Tabla1[[id]:[EDAD]],4,FALSE)</f>
        <v>33</v>
      </c>
      <c r="F38" s="1">
        <f>IF(Tabla1[[#This Row],[SEXO]]="Masculino",0,1)</f>
        <v>1</v>
      </c>
      <c r="G38" s="1">
        <f>VLOOKUP(C38,Tabla1[[id]:[DISTRITO ]],6,FALSE)</f>
        <v>11</v>
      </c>
      <c r="H38" s="1">
        <f>VLOOKUP(Tabla1[[#This Row],[PACTO POR EL QUE FUE ELECTO]],ref!$A$2:$B$8,2,FALSE)</f>
        <v>2</v>
      </c>
      <c r="I38" s="1">
        <f>IF(Tabla1[[#This Row],[CAMBIO DE PACTO DURANTE CONVENCIÓN]]="",0,1)</f>
        <v>0</v>
      </c>
      <c r="J38" s="1">
        <f>IF(Tabla1[[#This Row],[PUEBLO ORIGINARIO]]="",0,1)</f>
        <v>0</v>
      </c>
      <c r="K38" s="1">
        <f>VLOOKUP(Tabla1[[#This Row],[LISTA EN LA CONVENCIÓN]],ref!A$11:B$21,2,FALSE)</f>
        <v>4</v>
      </c>
      <c r="L38" s="1">
        <v>2</v>
      </c>
      <c r="M38" s="1">
        <f>VLOOKUP(C38,inp_ip_mp!$B$2:$C$156,2,FALSE)</f>
        <v>2</v>
      </c>
    </row>
    <row r="39" spans="1:13" x14ac:dyDescent="0.35">
      <c r="A39" s="1">
        <v>38</v>
      </c>
      <c r="B39" s="1" t="s">
        <v>259</v>
      </c>
      <c r="C39" s="1">
        <v>38</v>
      </c>
      <c r="D39" s="1" t="s">
        <v>466</v>
      </c>
      <c r="E39" s="1">
        <f>VLOOKUP(C39,Tabla1[[id]:[EDAD]],4,FALSE)</f>
        <v>36</v>
      </c>
      <c r="F39" s="1">
        <f>IF(Tabla1[[#This Row],[SEXO]]="Masculino",0,1)</f>
        <v>1</v>
      </c>
      <c r="G39" s="1">
        <f>VLOOKUP(C39,Tabla1[[id]:[DISTRITO ]],6,FALSE)</f>
        <v>11</v>
      </c>
      <c r="H39" s="1">
        <f>VLOOKUP(Tabla1[[#This Row],[PACTO POR EL QUE FUE ELECTO]],ref!$A$2:$B$8,2,FALSE)</f>
        <v>7</v>
      </c>
      <c r="I39" s="1">
        <f>IF(Tabla1[[#This Row],[CAMBIO DE PACTO DURANTE CONVENCIÓN]]="",0,1)</f>
        <v>0</v>
      </c>
      <c r="J39" s="1">
        <f>IF(Tabla1[[#This Row],[PUEBLO ORIGINARIO]]="",0,1)</f>
        <v>0</v>
      </c>
      <c r="K39" s="1">
        <f>VLOOKUP(Tabla1[[#This Row],[LISTA EN LA CONVENCIÓN]],ref!A$11:B$21,2,FALSE)</f>
        <v>11</v>
      </c>
      <c r="L39" s="1">
        <v>10</v>
      </c>
      <c r="M39" s="1">
        <f>VLOOKUP(C39,inp_ip_mp!$B$2:$C$156,2,FALSE)</f>
        <v>2</v>
      </c>
    </row>
    <row r="40" spans="1:13" x14ac:dyDescent="0.35">
      <c r="A40" s="1">
        <v>39</v>
      </c>
      <c r="B40" s="1" t="s">
        <v>260</v>
      </c>
      <c r="C40" s="1">
        <v>39</v>
      </c>
      <c r="D40" s="1" t="s">
        <v>439</v>
      </c>
      <c r="E40" s="1">
        <f>VLOOKUP(C40,Tabla1[[id]:[EDAD]],4,FALSE)</f>
        <v>53</v>
      </c>
      <c r="F40" s="1">
        <f>IF(Tabla1[[#This Row],[SEXO]]="Masculino",0,1)</f>
        <v>0</v>
      </c>
      <c r="G40" s="1">
        <f>VLOOKUP(C40,Tabla1[[id]:[DISTRITO ]],6,FALSE)</f>
        <v>10</v>
      </c>
      <c r="H40" s="1">
        <f>VLOOKUP(Tabla1[[#This Row],[PACTO POR EL QUE FUE ELECTO]],ref!$A$2:$B$8,2,FALSE)</f>
        <v>7</v>
      </c>
      <c r="I40" s="1">
        <f>IF(Tabla1[[#This Row],[CAMBIO DE PACTO DURANTE CONVENCIÓN]]="",0,1)</f>
        <v>0</v>
      </c>
      <c r="J40" s="1">
        <f>IF(Tabla1[[#This Row],[PUEBLO ORIGINARIO]]="",0,1)</f>
        <v>0</v>
      </c>
      <c r="K40" s="1">
        <f>VLOOKUP(Tabla1[[#This Row],[LISTA EN LA CONVENCIÓN]],ref!A$11:B$21,2,FALSE)</f>
        <v>11</v>
      </c>
      <c r="L40" s="1">
        <v>7</v>
      </c>
      <c r="M40" s="1">
        <f>VLOOKUP(C40,inp_ip_mp!$B$2:$C$156,2,FALSE)</f>
        <v>2</v>
      </c>
    </row>
    <row r="41" spans="1:13" x14ac:dyDescent="0.35">
      <c r="A41" s="1">
        <v>40</v>
      </c>
      <c r="B41" s="1" t="s">
        <v>261</v>
      </c>
      <c r="C41" s="1">
        <v>40</v>
      </c>
      <c r="D41" s="1" t="s">
        <v>486</v>
      </c>
      <c r="E41" s="1">
        <f>VLOOKUP(C41,Tabla1[[id]:[EDAD]],4,FALSE)</f>
        <v>42</v>
      </c>
      <c r="F41" s="1">
        <f>IF(Tabla1[[#This Row],[SEXO]]="Masculino",0,1)</f>
        <v>1</v>
      </c>
      <c r="G41" s="1">
        <f>VLOOKUP(C41,Tabla1[[id]:[DISTRITO ]],6,FALSE)</f>
        <v>3</v>
      </c>
      <c r="H41" s="1">
        <f>VLOOKUP(Tabla1[[#This Row],[PACTO POR EL QUE FUE ELECTO]],ref!$A$2:$B$8,2,FALSE)</f>
        <v>5</v>
      </c>
      <c r="I41" s="1">
        <f>IF(Tabla1[[#This Row],[CAMBIO DE PACTO DURANTE CONVENCIÓN]]="",0,1)</f>
        <v>1</v>
      </c>
      <c r="J41" s="1">
        <f>IF(Tabla1[[#This Row],[PUEBLO ORIGINARIO]]="",0,1)</f>
        <v>0</v>
      </c>
      <c r="K41" s="1">
        <f>VLOOKUP(Tabla1[[#This Row],[LISTA EN LA CONVENCIÓN]],ref!A$11:B$21,2,FALSE)</f>
        <v>6</v>
      </c>
      <c r="L41" s="1">
        <v>0</v>
      </c>
      <c r="M41" s="1">
        <f>VLOOKUP(C41,inp_ip_mp!$B$2:$C$156,2,FALSE)</f>
        <v>0</v>
      </c>
    </row>
    <row r="42" spans="1:13" x14ac:dyDescent="0.35">
      <c r="A42" s="1">
        <v>41</v>
      </c>
      <c r="B42" s="1" t="s">
        <v>262</v>
      </c>
      <c r="C42" s="1">
        <v>41</v>
      </c>
      <c r="D42" s="1" t="s">
        <v>525</v>
      </c>
      <c r="E42" s="1">
        <f>VLOOKUP(C42,Tabla1[[id]:[EDAD]],4,FALSE)</f>
        <v>33</v>
      </c>
      <c r="F42" s="1">
        <f>IF(Tabla1[[#This Row],[SEXO]]="Masculino",0,1)</f>
        <v>0</v>
      </c>
      <c r="G42" s="1">
        <f>VLOOKUP(C42,Tabla1[[id]:[DISTRITO ]],6,FALSE)</f>
        <v>6</v>
      </c>
      <c r="H42" s="1">
        <f>VLOOKUP(Tabla1[[#This Row],[PACTO POR EL QUE FUE ELECTO]],ref!$A$2:$B$8,2,FALSE)</f>
        <v>3</v>
      </c>
      <c r="I42" s="1">
        <f>IF(Tabla1[[#This Row],[CAMBIO DE PACTO DURANTE CONVENCIÓN]]="",0,1)</f>
        <v>1</v>
      </c>
      <c r="J42" s="1">
        <f>IF(Tabla1[[#This Row],[PUEBLO ORIGINARIO]]="",0,1)</f>
        <v>0</v>
      </c>
      <c r="K42" s="1">
        <f>VLOOKUP(Tabla1[[#This Row],[LISTA EN LA CONVENCIÓN]],ref!A$11:B$21,2,FALSE)</f>
        <v>8</v>
      </c>
      <c r="L42" s="1">
        <v>0</v>
      </c>
      <c r="M42" s="1">
        <f>VLOOKUP(C42,inp_ip_mp!$B$2:$C$156,2,FALSE)</f>
        <v>1</v>
      </c>
    </row>
    <row r="43" spans="1:13" x14ac:dyDescent="0.35">
      <c r="A43" s="1">
        <v>42</v>
      </c>
      <c r="B43" s="1" t="s">
        <v>263</v>
      </c>
      <c r="C43" s="1">
        <v>42</v>
      </c>
      <c r="D43" s="1" t="s">
        <v>534</v>
      </c>
      <c r="E43" s="1">
        <f>VLOOKUP(C43,Tabla1[[id]:[EDAD]],4,FALSE)</f>
        <v>33</v>
      </c>
      <c r="F43" s="1">
        <f>IF(Tabla1[[#This Row],[SEXO]]="Masculino",0,1)</f>
        <v>1</v>
      </c>
      <c r="G43" s="1">
        <f>VLOOKUP(C43,Tabla1[[id]:[DISTRITO ]],6,FALSE)</f>
        <v>15</v>
      </c>
      <c r="H43" s="1">
        <f>VLOOKUP(Tabla1[[#This Row],[PACTO POR EL QUE FUE ELECTO]],ref!$A$2:$B$8,2,FALSE)</f>
        <v>2</v>
      </c>
      <c r="I43" s="1">
        <f>IF(Tabla1[[#This Row],[CAMBIO DE PACTO DURANTE CONVENCIÓN]]="",0,1)</f>
        <v>0</v>
      </c>
      <c r="J43" s="1">
        <f>IF(Tabla1[[#This Row],[PUEBLO ORIGINARIO]]="",0,1)</f>
        <v>0</v>
      </c>
      <c r="K43" s="1">
        <f>VLOOKUP(Tabla1[[#This Row],[LISTA EN LA CONVENCIÓN]],ref!A$11:B$21,2,FALSE)</f>
        <v>4</v>
      </c>
      <c r="L43" s="1">
        <v>0</v>
      </c>
      <c r="M43" s="1">
        <f>VLOOKUP(C43,inp_ip_mp!$B$2:$C$156,2,FALSE)</f>
        <v>1</v>
      </c>
    </row>
    <row r="44" spans="1:13" x14ac:dyDescent="0.35">
      <c r="A44" s="1">
        <v>43</v>
      </c>
      <c r="B44" s="1" t="s">
        <v>264</v>
      </c>
      <c r="C44" s="1">
        <v>43</v>
      </c>
      <c r="D44" s="1" t="s">
        <v>510</v>
      </c>
      <c r="E44" s="1">
        <f>VLOOKUP(C44,Tabla1[[id]:[EDAD]],4,FALSE)</f>
        <v>40</v>
      </c>
      <c r="F44" s="1">
        <f>IF(Tabla1[[#This Row],[SEXO]]="Masculino",0,1)</f>
        <v>0</v>
      </c>
      <c r="G44" s="1">
        <f>VLOOKUP(C44,Tabla1[[id]:[DISTRITO ]],6,FALSE)</f>
        <v>5</v>
      </c>
      <c r="H44" s="1">
        <f>VLOOKUP(Tabla1[[#This Row],[PACTO POR EL QUE FUE ELECTO]],ref!$A$2:$B$8,2,FALSE)</f>
        <v>3</v>
      </c>
      <c r="I44" s="1">
        <f>IF(Tabla1[[#This Row],[CAMBIO DE PACTO DURANTE CONVENCIÓN]]="",0,1)</f>
        <v>1</v>
      </c>
      <c r="J44" s="1">
        <f>IF(Tabla1[[#This Row],[PUEBLO ORIGINARIO]]="",0,1)</f>
        <v>0</v>
      </c>
      <c r="K44" s="1">
        <f>VLOOKUP(Tabla1[[#This Row],[LISTA EN LA CONVENCIÓN]],ref!A$11:B$21,2,FALSE)</f>
        <v>9</v>
      </c>
      <c r="L44" s="1">
        <v>0</v>
      </c>
      <c r="M44" s="1">
        <f>VLOOKUP(C44,inp_ip_mp!$B$2:$C$156,2,FALSE)</f>
        <v>1</v>
      </c>
    </row>
    <row r="45" spans="1:13" x14ac:dyDescent="0.35">
      <c r="A45" s="1">
        <v>44</v>
      </c>
      <c r="B45" s="1" t="s">
        <v>265</v>
      </c>
      <c r="C45" s="1">
        <v>44</v>
      </c>
      <c r="D45" s="1" t="s">
        <v>405</v>
      </c>
      <c r="E45" s="1">
        <f>VLOOKUP(C45,Tabla1[[id]:[EDAD]],4,FALSE)</f>
        <v>56</v>
      </c>
      <c r="F45" s="1">
        <f>IF(Tabla1[[#This Row],[SEXO]]="Masculino",0,1)</f>
        <v>0</v>
      </c>
      <c r="G45" s="1">
        <f>VLOOKUP(C45,Tabla1[[id]:[DISTRITO ]],6,FALSE)</f>
        <v>8</v>
      </c>
      <c r="H45" s="1">
        <f>VLOOKUP(Tabla1[[#This Row],[PACTO POR EL QUE FUE ELECTO]],ref!$A$2:$B$8,2,FALSE)</f>
        <v>2</v>
      </c>
      <c r="I45" s="1">
        <f>IF(Tabla1[[#This Row],[CAMBIO DE PACTO DURANTE CONVENCIÓN]]="",0,1)</f>
        <v>0</v>
      </c>
      <c r="J45" s="1">
        <f>IF(Tabla1[[#This Row],[PUEBLO ORIGINARIO]]="",0,1)</f>
        <v>0</v>
      </c>
      <c r="K45" s="1">
        <f>VLOOKUP(Tabla1[[#This Row],[LISTA EN LA CONVENCIÓN]],ref!A$11:B$21,2,FALSE)</f>
        <v>4</v>
      </c>
      <c r="L45" s="1">
        <v>0</v>
      </c>
      <c r="M45" s="1">
        <f>VLOOKUP(C45,inp_ip_mp!$B$2:$C$156,2,FALSE)</f>
        <v>1</v>
      </c>
    </row>
    <row r="46" spans="1:13" x14ac:dyDescent="0.35">
      <c r="A46" s="1">
        <v>45</v>
      </c>
      <c r="B46" s="1" t="s">
        <v>266</v>
      </c>
      <c r="C46" s="1">
        <v>45</v>
      </c>
      <c r="D46" s="1" t="s">
        <v>476</v>
      </c>
      <c r="E46" s="1">
        <f>VLOOKUP(C46,Tabla1[[id]:[EDAD]],4,FALSE)</f>
        <v>34</v>
      </c>
      <c r="F46" s="1">
        <f>IF(Tabla1[[#This Row],[SEXO]]="Masculino",0,1)</f>
        <v>1</v>
      </c>
      <c r="G46" s="1">
        <f>VLOOKUP(C46,Tabla1[[id]:[DISTRITO ]],6,FALSE)</f>
        <v>3</v>
      </c>
      <c r="H46" s="1">
        <f>VLOOKUP(Tabla1[[#This Row],[PACTO POR EL QUE FUE ELECTO]],ref!$A$2:$B$8,2,FALSE)</f>
        <v>3</v>
      </c>
      <c r="I46" s="1">
        <f>IF(Tabla1[[#This Row],[CAMBIO DE PACTO DURANTE CONVENCIÓN]]="",0,1)</f>
        <v>1</v>
      </c>
      <c r="J46" s="1">
        <f>IF(Tabla1[[#This Row],[PUEBLO ORIGINARIO]]="",0,1)</f>
        <v>0</v>
      </c>
      <c r="K46" s="1">
        <f>VLOOKUP(Tabla1[[#This Row],[LISTA EN LA CONVENCIÓN]],ref!A$11:B$21,2,FALSE)</f>
        <v>9</v>
      </c>
      <c r="L46" s="1">
        <v>0</v>
      </c>
      <c r="M46" s="1">
        <f>VLOOKUP(C46,inp_ip_mp!$B$2:$C$156,2,FALSE)</f>
        <v>0</v>
      </c>
    </row>
    <row r="47" spans="1:13" x14ac:dyDescent="0.35">
      <c r="A47" s="1">
        <v>46</v>
      </c>
      <c r="B47" s="1" t="s">
        <v>267</v>
      </c>
      <c r="C47" s="1">
        <v>46</v>
      </c>
      <c r="D47" s="1" t="s">
        <v>494</v>
      </c>
      <c r="E47" s="1">
        <f>VLOOKUP(C47,Tabla1[[id]:[EDAD]],4,FALSE)</f>
        <v>26</v>
      </c>
      <c r="F47" s="1">
        <f>IF(Tabla1[[#This Row],[SEXO]]="Masculino",0,1)</f>
        <v>0</v>
      </c>
      <c r="G47" s="1">
        <f>VLOOKUP(C47,Tabla1[[id]:[DISTRITO ]],6,FALSE)</f>
        <v>22</v>
      </c>
      <c r="H47" s="1">
        <f>VLOOKUP(Tabla1[[#This Row],[PACTO POR EL QUE FUE ELECTO]],ref!$A$2:$B$8,2,FALSE)</f>
        <v>7</v>
      </c>
      <c r="I47" s="1">
        <f>IF(Tabla1[[#This Row],[CAMBIO DE PACTO DURANTE CONVENCIÓN]]="",0,1)</f>
        <v>0</v>
      </c>
      <c r="J47" s="1">
        <f>IF(Tabla1[[#This Row],[PUEBLO ORIGINARIO]]="",0,1)</f>
        <v>0</v>
      </c>
      <c r="K47" s="1">
        <f>VLOOKUP(Tabla1[[#This Row],[LISTA EN LA CONVENCIÓN]],ref!A$11:B$21,2,FALSE)</f>
        <v>11</v>
      </c>
      <c r="L47" s="1">
        <v>10</v>
      </c>
      <c r="M47" s="1">
        <f>VLOOKUP(C47,inp_ip_mp!$B$2:$C$156,2,FALSE)</f>
        <v>2</v>
      </c>
    </row>
    <row r="48" spans="1:13" x14ac:dyDescent="0.35">
      <c r="A48" s="1">
        <v>47</v>
      </c>
      <c r="B48" s="1" t="s">
        <v>268</v>
      </c>
      <c r="C48" s="1">
        <v>47</v>
      </c>
      <c r="D48" s="1" t="s">
        <v>503</v>
      </c>
      <c r="E48" s="1">
        <f>VLOOKUP(C48,Tabla1[[id]:[EDAD]],4,FALSE)</f>
        <v>71</v>
      </c>
      <c r="F48" s="1">
        <f>IF(Tabla1[[#This Row],[SEXO]]="Masculino",0,1)</f>
        <v>0</v>
      </c>
      <c r="G48" s="1">
        <f>VLOOKUP(C48,Tabla1[[id]:[DISTRITO ]],6,FALSE)</f>
        <v>23</v>
      </c>
      <c r="H48" s="1">
        <f>VLOOKUP(Tabla1[[#This Row],[PACTO POR EL QUE FUE ELECTO]],ref!$A$2:$B$8,2,FALSE)</f>
        <v>1</v>
      </c>
      <c r="I48" s="1">
        <f>IF(Tabla1[[#This Row],[CAMBIO DE PACTO DURANTE CONVENCIÓN]]="",0,1)</f>
        <v>0</v>
      </c>
      <c r="J48" s="1">
        <f>IF(Tabla1[[#This Row],[PUEBLO ORIGINARIO]]="",0,1)</f>
        <v>0</v>
      </c>
      <c r="K48" s="1">
        <f>VLOOKUP(Tabla1[[#This Row],[LISTA EN LA CONVENCIÓN]],ref!A$11:B$21,2,FALSE)</f>
        <v>2</v>
      </c>
      <c r="L48" s="1">
        <v>6</v>
      </c>
      <c r="M48" s="1">
        <f>VLOOKUP(C48,inp_ip_mp!$B$2:$C$156,2,FALSE)</f>
        <v>2</v>
      </c>
    </row>
    <row r="49" spans="1:13" x14ac:dyDescent="0.35">
      <c r="A49" s="1">
        <v>48</v>
      </c>
      <c r="B49" s="1" t="s">
        <v>269</v>
      </c>
      <c r="C49" s="1">
        <v>48</v>
      </c>
      <c r="D49" s="1" t="s">
        <v>478</v>
      </c>
      <c r="E49" s="1">
        <f>VLOOKUP(C49,Tabla1[[id]:[EDAD]],4,FALSE)</f>
        <v>37</v>
      </c>
      <c r="F49" s="1">
        <f>IF(Tabla1[[#This Row],[SEXO]]="Masculino",0,1)</f>
        <v>1</v>
      </c>
      <c r="G49" s="1">
        <f>VLOOKUP(C49,Tabla1[[id]:[DISTRITO ]],6,FALSE)</f>
        <v>28</v>
      </c>
      <c r="H49" s="1">
        <f>VLOOKUP(Tabla1[[#This Row],[PACTO POR EL QUE FUE ELECTO]],ref!$A$2:$B$8,2,FALSE)</f>
        <v>3</v>
      </c>
      <c r="I49" s="1">
        <f>IF(Tabla1[[#This Row],[CAMBIO DE PACTO DURANTE CONVENCIÓN]]="",0,1)</f>
        <v>1</v>
      </c>
      <c r="J49" s="1">
        <f>IF(Tabla1[[#This Row],[PUEBLO ORIGINARIO]]="",0,1)</f>
        <v>0</v>
      </c>
      <c r="K49" s="1">
        <f>VLOOKUP(Tabla1[[#This Row],[LISTA EN LA CONVENCIÓN]],ref!A$11:B$21,2,FALSE)</f>
        <v>6</v>
      </c>
      <c r="L49" s="1">
        <v>0</v>
      </c>
      <c r="M49" s="1">
        <f>VLOOKUP(C49,inp_ip_mp!$B$2:$C$156,2,FALSE)</f>
        <v>0</v>
      </c>
    </row>
    <row r="50" spans="1:13" x14ac:dyDescent="0.35">
      <c r="A50" s="1">
        <v>49</v>
      </c>
      <c r="B50" s="1" t="s">
        <v>270</v>
      </c>
      <c r="C50" s="1">
        <v>49</v>
      </c>
      <c r="D50" s="1" t="s">
        <v>451</v>
      </c>
      <c r="E50" s="1">
        <f>VLOOKUP(C50,Tabla1[[id]:[EDAD]],4,FALSE)</f>
        <v>59</v>
      </c>
      <c r="F50" s="1">
        <f>IF(Tabla1[[#This Row],[SEXO]]="Masculino",0,1)</f>
        <v>1</v>
      </c>
      <c r="G50" s="1">
        <f>VLOOKUP(C50,Tabla1[[id]:[DISTRITO ]],6,FALSE)</f>
        <v>29</v>
      </c>
      <c r="H50" s="1">
        <f>VLOOKUP(Tabla1[[#This Row],[PACTO POR EL QUE FUE ELECTO]],ref!$A$2:$B$8,2,FALSE)</f>
        <v>6</v>
      </c>
      <c r="I50" s="1">
        <f>IF(Tabla1[[#This Row],[CAMBIO DE PACTO DURANTE CONVENCIÓN]]="",0,1)</f>
        <v>0</v>
      </c>
      <c r="J50" s="1">
        <f>IF(Tabla1[[#This Row],[PUEBLO ORIGINARIO]]="",0,1)</f>
        <v>1</v>
      </c>
      <c r="K50" s="1">
        <f>VLOOKUP(Tabla1[[#This Row],[LISTA EN LA CONVENCIÓN]],ref!A$11:B$21,2,FALSE)</f>
        <v>10</v>
      </c>
      <c r="L50" s="1">
        <v>17</v>
      </c>
      <c r="M50" s="1">
        <f>VLOOKUP(C50,inp_ip_mp!$B$2:$C$156,2,FALSE)</f>
        <v>0</v>
      </c>
    </row>
    <row r="51" spans="1:13" x14ac:dyDescent="0.35">
      <c r="A51" s="1">
        <v>50</v>
      </c>
      <c r="B51" s="1" t="s">
        <v>271</v>
      </c>
      <c r="C51" s="1">
        <v>50</v>
      </c>
      <c r="D51" s="1" t="s">
        <v>458</v>
      </c>
      <c r="E51" s="1">
        <f>VLOOKUP(C51,Tabla1[[id]:[EDAD]],4,FALSE)</f>
        <v>47</v>
      </c>
      <c r="F51" s="1">
        <f>IF(Tabla1[[#This Row],[SEXO]]="Masculino",0,1)</f>
        <v>1</v>
      </c>
      <c r="G51" s="1">
        <f>VLOOKUP(C51,Tabla1[[id]:[DISTRITO ]],6,FALSE)</f>
        <v>17</v>
      </c>
      <c r="H51" s="1">
        <f>VLOOKUP(Tabla1[[#This Row],[PACTO POR EL QUE FUE ELECTO]],ref!$A$2:$B$8,2,FALSE)</f>
        <v>3</v>
      </c>
      <c r="I51" s="1">
        <f>IF(Tabla1[[#This Row],[CAMBIO DE PACTO DURANTE CONVENCIÓN]]="",0,1)</f>
        <v>1</v>
      </c>
      <c r="J51" s="1">
        <f>IF(Tabla1[[#This Row],[PUEBLO ORIGINARIO]]="",0,1)</f>
        <v>0</v>
      </c>
      <c r="K51" s="1">
        <f>VLOOKUP(Tabla1[[#This Row],[LISTA EN LA CONVENCIÓN]],ref!A$11:B$21,2,FALSE)</f>
        <v>9</v>
      </c>
      <c r="L51" s="1">
        <v>0</v>
      </c>
      <c r="M51" s="1">
        <f>VLOOKUP(C51,inp_ip_mp!$B$2:$C$156,2,FALSE)</f>
        <v>0</v>
      </c>
    </row>
    <row r="52" spans="1:13" x14ac:dyDescent="0.35">
      <c r="A52" s="1">
        <v>51</v>
      </c>
      <c r="B52" s="1" t="s">
        <v>272</v>
      </c>
      <c r="C52" s="1">
        <v>51</v>
      </c>
      <c r="D52" s="1" t="s">
        <v>496</v>
      </c>
      <c r="E52" s="1">
        <f>VLOOKUP(C52,Tabla1[[id]:[EDAD]],4,FALSE)</f>
        <v>51</v>
      </c>
      <c r="F52" s="1">
        <f>IF(Tabla1[[#This Row],[SEXO]]="Masculino",0,1)</f>
        <v>0</v>
      </c>
      <c r="G52" s="1">
        <f>VLOOKUP(C52,Tabla1[[id]:[DISTRITO ]],6,FALSE)</f>
        <v>29</v>
      </c>
      <c r="H52" s="1">
        <f>VLOOKUP(Tabla1[[#This Row],[PACTO POR EL QUE FUE ELECTO]],ref!$A$2:$B$8,2,FALSE)</f>
        <v>6</v>
      </c>
      <c r="I52" s="1">
        <f>IF(Tabla1[[#This Row],[CAMBIO DE PACTO DURANTE CONVENCIÓN]]="",0,1)</f>
        <v>0</v>
      </c>
      <c r="J52" s="1">
        <f>IF(Tabla1[[#This Row],[PUEBLO ORIGINARIO]]="",0,1)</f>
        <v>1</v>
      </c>
      <c r="K52" s="1">
        <f>VLOOKUP(Tabla1[[#This Row],[LISTA EN LA CONVENCIÓN]],ref!A$11:B$21,2,FALSE)</f>
        <v>10</v>
      </c>
      <c r="L52" s="1">
        <v>17</v>
      </c>
      <c r="M52" s="1">
        <f>VLOOKUP(C52,inp_ip_mp!$B$2:$C$156,2,FALSE)</f>
        <v>0</v>
      </c>
    </row>
    <row r="53" spans="1:13" x14ac:dyDescent="0.35">
      <c r="A53" s="1">
        <v>52</v>
      </c>
      <c r="B53" s="1" t="s">
        <v>273</v>
      </c>
      <c r="C53" s="1">
        <v>52</v>
      </c>
      <c r="D53" s="1" t="s">
        <v>424</v>
      </c>
      <c r="E53" s="1">
        <f>VLOOKUP(C53,Tabla1[[id]:[EDAD]],4,FALSE)</f>
        <v>37</v>
      </c>
      <c r="F53" s="1">
        <f>IF(Tabla1[[#This Row],[SEXO]]="Masculino",0,1)</f>
        <v>1</v>
      </c>
      <c r="G53" s="1">
        <f>VLOOKUP(C53,Tabla1[[id]:[DISTRITO ]],6,FALSE)</f>
        <v>4</v>
      </c>
      <c r="H53" s="1">
        <f>VLOOKUP(Tabla1[[#This Row],[PACTO POR EL QUE FUE ELECTO]],ref!$A$2:$B$8,2,FALSE)</f>
        <v>2</v>
      </c>
      <c r="I53" s="1">
        <f>IF(Tabla1[[#This Row],[CAMBIO DE PACTO DURANTE CONVENCIÓN]]="",0,1)</f>
        <v>0</v>
      </c>
      <c r="J53" s="1">
        <f>IF(Tabla1[[#This Row],[PUEBLO ORIGINARIO]]="",0,1)</f>
        <v>0</v>
      </c>
      <c r="K53" s="1">
        <f>VLOOKUP(Tabla1[[#This Row],[LISTA EN LA CONVENCIÓN]],ref!A$11:B$21,2,FALSE)</f>
        <v>1</v>
      </c>
      <c r="L53" s="1">
        <v>1</v>
      </c>
      <c r="M53" s="1">
        <f>VLOOKUP(C53,inp_ip_mp!$B$2:$C$156,2,FALSE)</f>
        <v>2</v>
      </c>
    </row>
    <row r="54" spans="1:13" x14ac:dyDescent="0.35">
      <c r="A54" s="1">
        <v>53</v>
      </c>
      <c r="B54" s="1" t="s">
        <v>274</v>
      </c>
      <c r="C54" s="1">
        <v>53</v>
      </c>
      <c r="D54" s="1" t="s">
        <v>469</v>
      </c>
      <c r="E54" s="1">
        <f>VLOOKUP(C54,Tabla1[[id]:[EDAD]],4,FALSE)</f>
        <v>49</v>
      </c>
      <c r="F54" s="1">
        <f>IF(Tabla1[[#This Row],[SEXO]]="Masculino",0,1)</f>
        <v>0</v>
      </c>
      <c r="G54" s="1">
        <f>VLOOKUP(C54,Tabla1[[id]:[DISTRITO ]],6,FALSE)</f>
        <v>19</v>
      </c>
      <c r="H54" s="1">
        <f>VLOOKUP(Tabla1[[#This Row],[PACTO POR EL QUE FUE ELECTO]],ref!$A$2:$B$8,2,FALSE)</f>
        <v>1</v>
      </c>
      <c r="I54" s="1">
        <f>IF(Tabla1[[#This Row],[CAMBIO DE PACTO DURANTE CONVENCIÓN]]="",0,1)</f>
        <v>0</v>
      </c>
      <c r="J54" s="1">
        <f>IF(Tabla1[[#This Row],[PUEBLO ORIGINARIO]]="",0,1)</f>
        <v>0</v>
      </c>
      <c r="K54" s="1">
        <f>VLOOKUP(Tabla1[[#This Row],[LISTA EN LA CONVENCIÓN]],ref!A$11:B$21,2,FALSE)</f>
        <v>2</v>
      </c>
      <c r="L54" s="1">
        <v>6</v>
      </c>
      <c r="M54" s="1">
        <f>VLOOKUP(C54,inp_ip_mp!$B$2:$C$156,2,FALSE)</f>
        <v>2</v>
      </c>
    </row>
    <row r="55" spans="1:13" x14ac:dyDescent="0.35">
      <c r="A55" s="1">
        <v>54</v>
      </c>
      <c r="B55" s="1" t="s">
        <v>275</v>
      </c>
      <c r="C55" s="1">
        <v>54</v>
      </c>
      <c r="D55" s="1" t="s">
        <v>443</v>
      </c>
      <c r="E55" s="1">
        <f>VLOOKUP(C55,Tabla1[[id]:[EDAD]],4,FALSE)</f>
        <v>39</v>
      </c>
      <c r="F55" s="1">
        <f>IF(Tabla1[[#This Row],[SEXO]]="Masculino",0,1)</f>
        <v>0</v>
      </c>
      <c r="G55" s="1">
        <f>VLOOKUP(C55,Tabla1[[id]:[DISTRITO ]],6,FALSE)</f>
        <v>14</v>
      </c>
      <c r="H55" s="1">
        <f>VLOOKUP(Tabla1[[#This Row],[PACTO POR EL QUE FUE ELECTO]],ref!$A$2:$B$8,2,FALSE)</f>
        <v>7</v>
      </c>
      <c r="I55" s="1">
        <f>IF(Tabla1[[#This Row],[CAMBIO DE PACTO DURANTE CONVENCIÓN]]="",0,1)</f>
        <v>0</v>
      </c>
      <c r="J55" s="1">
        <f>IF(Tabla1[[#This Row],[PUEBLO ORIGINARIO]]="",0,1)</f>
        <v>0</v>
      </c>
      <c r="K55" s="1">
        <f>VLOOKUP(Tabla1[[#This Row],[LISTA EN LA CONVENCIÓN]],ref!A$11:B$21,2,FALSE)</f>
        <v>11</v>
      </c>
      <c r="L55" s="1">
        <v>10</v>
      </c>
      <c r="M55" s="1">
        <f>VLOOKUP(C55,inp_ip_mp!$B$2:$C$156,2,FALSE)</f>
        <v>2</v>
      </c>
    </row>
    <row r="56" spans="1:13" x14ac:dyDescent="0.35">
      <c r="A56" s="1">
        <v>55</v>
      </c>
      <c r="B56" s="1" t="s">
        <v>276</v>
      </c>
      <c r="C56" s="1">
        <v>55</v>
      </c>
      <c r="D56" s="1" t="s">
        <v>480</v>
      </c>
      <c r="E56" s="1">
        <f>VLOOKUP(C56,Tabla1[[id]:[EDAD]],4,FALSE)</f>
        <v>36</v>
      </c>
      <c r="F56" s="1">
        <f>IF(Tabla1[[#This Row],[SEXO]]="Masculino",0,1)</f>
        <v>0</v>
      </c>
      <c r="G56" s="1">
        <f>VLOOKUP(C56,Tabla1[[id]:[DISTRITO ]],6,FALSE)</f>
        <v>29</v>
      </c>
      <c r="H56" s="1">
        <f>VLOOKUP(Tabla1[[#This Row],[PACTO POR EL QUE FUE ELECTO]],ref!$A$2:$B$8,2,FALSE)</f>
        <v>6</v>
      </c>
      <c r="I56" s="1">
        <f>IF(Tabla1[[#This Row],[CAMBIO DE PACTO DURANTE CONVENCIÓN]]="",0,1)</f>
        <v>0</v>
      </c>
      <c r="J56" s="1">
        <f>IF(Tabla1[[#This Row],[PUEBLO ORIGINARIO]]="",0,1)</f>
        <v>1</v>
      </c>
      <c r="K56" s="1">
        <f>VLOOKUP(Tabla1[[#This Row],[LISTA EN LA CONVENCIÓN]],ref!A$11:B$21,2,FALSE)</f>
        <v>10</v>
      </c>
      <c r="L56" s="1">
        <v>17</v>
      </c>
      <c r="M56" s="1">
        <f>VLOOKUP(C56,inp_ip_mp!$B$2:$C$156,2,FALSE)</f>
        <v>0</v>
      </c>
    </row>
    <row r="57" spans="1:13" x14ac:dyDescent="0.35">
      <c r="A57" s="1">
        <v>56</v>
      </c>
      <c r="B57" s="1" t="s">
        <v>277</v>
      </c>
      <c r="C57" s="1">
        <v>56</v>
      </c>
      <c r="D57" s="1" t="s">
        <v>519</v>
      </c>
      <c r="E57" s="1">
        <f>VLOOKUP(C57,Tabla1[[id]:[EDAD]],4,FALSE)</f>
        <v>53</v>
      </c>
      <c r="F57" s="1">
        <f>IF(Tabla1[[#This Row],[SEXO]]="Masculino",0,1)</f>
        <v>0</v>
      </c>
      <c r="G57" s="1">
        <f>VLOOKUP(C57,Tabla1[[id]:[DISTRITO ]],6,FALSE)</f>
        <v>10</v>
      </c>
      <c r="H57" s="1">
        <f>VLOOKUP(Tabla1[[#This Row],[PACTO POR EL QUE FUE ELECTO]],ref!$A$2:$B$8,2,FALSE)</f>
        <v>2</v>
      </c>
      <c r="I57" s="1">
        <f>IF(Tabla1[[#This Row],[CAMBIO DE PACTO DURANTE CONVENCIÓN]]="",0,1)</f>
        <v>0</v>
      </c>
      <c r="J57" s="1">
        <f>IF(Tabla1[[#This Row],[PUEBLO ORIGINARIO]]="",0,1)</f>
        <v>0</v>
      </c>
      <c r="K57" s="1">
        <f>VLOOKUP(Tabla1[[#This Row],[LISTA EN LA CONVENCIÓN]],ref!A$11:B$21,2,FALSE)</f>
        <v>4</v>
      </c>
      <c r="L57" s="1">
        <v>0</v>
      </c>
      <c r="M57" s="1">
        <f>VLOOKUP(C57,inp_ip_mp!$B$2:$C$156,2,FALSE)</f>
        <v>1</v>
      </c>
    </row>
    <row r="58" spans="1:13" x14ac:dyDescent="0.35">
      <c r="A58" s="1">
        <v>57</v>
      </c>
      <c r="B58" s="1" t="s">
        <v>278</v>
      </c>
      <c r="C58" s="1">
        <v>57</v>
      </c>
      <c r="D58" s="1" t="s">
        <v>413</v>
      </c>
      <c r="E58" s="1">
        <f>VLOOKUP(C58,Tabla1[[id]:[EDAD]],4,FALSE)</f>
        <v>66</v>
      </c>
      <c r="F58" s="1">
        <f>IF(Tabla1[[#This Row],[SEXO]]="Masculino",0,1)</f>
        <v>0</v>
      </c>
      <c r="G58" s="1">
        <f>VLOOKUP(C58,Tabla1[[id]:[DISTRITO ]],6,FALSE)</f>
        <v>18</v>
      </c>
      <c r="H58" s="1">
        <f>VLOOKUP(Tabla1[[#This Row],[PACTO POR EL QUE FUE ELECTO]],ref!$A$2:$B$8,2,FALSE)</f>
        <v>3</v>
      </c>
      <c r="I58" s="1">
        <f>IF(Tabla1[[#This Row],[CAMBIO DE PACTO DURANTE CONVENCIÓN]]="",0,1)</f>
        <v>1</v>
      </c>
      <c r="J58" s="1">
        <f>IF(Tabla1[[#This Row],[PUEBLO ORIGINARIO]]="",0,1)</f>
        <v>0</v>
      </c>
      <c r="K58" s="1">
        <f>VLOOKUP(Tabla1[[#This Row],[LISTA EN LA CONVENCIÓN]],ref!A$11:B$21,2,FALSE)</f>
        <v>9</v>
      </c>
      <c r="L58" s="1">
        <v>0</v>
      </c>
      <c r="M58" s="1">
        <f>VLOOKUP(C58,inp_ip_mp!$B$2:$C$156,2,FALSE)</f>
        <v>0</v>
      </c>
    </row>
    <row r="59" spans="1:13" x14ac:dyDescent="0.35">
      <c r="A59" s="1">
        <v>58</v>
      </c>
      <c r="B59" s="1" t="s">
        <v>279</v>
      </c>
      <c r="C59" s="1">
        <v>58</v>
      </c>
      <c r="D59" s="1" t="s">
        <v>402</v>
      </c>
      <c r="E59" s="1">
        <f>VLOOKUP(C59,Tabla1[[id]:[EDAD]],4,FALSE)</f>
        <v>68</v>
      </c>
      <c r="F59" s="1">
        <f>IF(Tabla1[[#This Row],[SEXO]]="Masculino",0,1)</f>
        <v>0</v>
      </c>
      <c r="G59" s="1">
        <f>VLOOKUP(C59,Tabla1[[id]:[DISTRITO ]],6,FALSE)</f>
        <v>29</v>
      </c>
      <c r="H59" s="1">
        <f>VLOOKUP(Tabla1[[#This Row],[PACTO POR EL QUE FUE ELECTO]],ref!$A$2:$B$8,2,FALSE)</f>
        <v>6</v>
      </c>
      <c r="I59" s="1">
        <f>IF(Tabla1[[#This Row],[CAMBIO DE PACTO DURANTE CONVENCIÓN]]="",0,1)</f>
        <v>0</v>
      </c>
      <c r="J59" s="1">
        <f>IF(Tabla1[[#This Row],[PUEBLO ORIGINARIO]]="",0,1)</f>
        <v>1</v>
      </c>
      <c r="K59" s="1">
        <f>VLOOKUP(Tabla1[[#This Row],[LISTA EN LA CONVENCIÓN]],ref!A$11:B$21,2,FALSE)</f>
        <v>10</v>
      </c>
      <c r="L59" s="1">
        <v>17</v>
      </c>
      <c r="M59" s="1">
        <f>VLOOKUP(C59,inp_ip_mp!$B$2:$C$156,2,FALSE)</f>
        <v>1</v>
      </c>
    </row>
    <row r="60" spans="1:13" x14ac:dyDescent="0.35">
      <c r="A60" s="1">
        <v>59</v>
      </c>
      <c r="B60" s="1" t="s">
        <v>280</v>
      </c>
      <c r="C60" s="1">
        <v>59</v>
      </c>
      <c r="D60" s="1" t="s">
        <v>454</v>
      </c>
      <c r="E60" s="1">
        <f>VLOOKUP(C60,Tabla1[[id]:[EDAD]],4,FALSE)</f>
        <v>65</v>
      </c>
      <c r="F60" s="1">
        <f>IF(Tabla1[[#This Row],[SEXO]]="Masculino",0,1)</f>
        <v>1</v>
      </c>
      <c r="G60" s="1">
        <f>VLOOKUP(C60,Tabla1[[id]:[DISTRITO ]],6,FALSE)</f>
        <v>29</v>
      </c>
      <c r="H60" s="1">
        <f>VLOOKUP(Tabla1[[#This Row],[PACTO POR EL QUE FUE ELECTO]],ref!$A$2:$B$8,2,FALSE)</f>
        <v>6</v>
      </c>
      <c r="I60" s="1">
        <f>IF(Tabla1[[#This Row],[CAMBIO DE PACTO DURANTE CONVENCIÓN]]="",0,1)</f>
        <v>0</v>
      </c>
      <c r="J60" s="1">
        <f>IF(Tabla1[[#This Row],[PUEBLO ORIGINARIO]]="",0,1)</f>
        <v>1</v>
      </c>
      <c r="K60" s="1">
        <f>VLOOKUP(Tabla1[[#This Row],[LISTA EN LA CONVENCIÓN]],ref!A$11:B$21,2,FALSE)</f>
        <v>10</v>
      </c>
      <c r="L60" s="1">
        <v>17</v>
      </c>
      <c r="M60" s="1">
        <f>VLOOKUP(C60,inp_ip_mp!$B$2:$C$156,2,FALSE)</f>
        <v>0</v>
      </c>
    </row>
    <row r="61" spans="1:13" x14ac:dyDescent="0.35">
      <c r="A61" s="1">
        <v>60</v>
      </c>
      <c r="B61" s="1" t="s">
        <v>281</v>
      </c>
      <c r="C61" s="1">
        <v>60</v>
      </c>
      <c r="D61" s="1" t="s">
        <v>522</v>
      </c>
      <c r="E61" s="1">
        <f>VLOOKUP(C61,Tabla1[[id]:[EDAD]],4,FALSE)</f>
        <v>31</v>
      </c>
      <c r="F61" s="1">
        <f>IF(Tabla1[[#This Row],[SEXO]]="Masculino",0,1)</f>
        <v>1</v>
      </c>
      <c r="G61" s="1">
        <f>VLOOKUP(C61,Tabla1[[id]:[DISTRITO ]],6,FALSE)</f>
        <v>18</v>
      </c>
      <c r="H61" s="1">
        <f>VLOOKUP(Tabla1[[#This Row],[PACTO POR EL QUE FUE ELECTO]],ref!$A$2:$B$8,2,FALSE)</f>
        <v>3</v>
      </c>
      <c r="I61" s="1">
        <f>IF(Tabla1[[#This Row],[CAMBIO DE PACTO DURANTE CONVENCIÓN]]="",0,1)</f>
        <v>1</v>
      </c>
      <c r="J61" s="1">
        <f>IF(Tabla1[[#This Row],[PUEBLO ORIGINARIO]]="",0,1)</f>
        <v>0</v>
      </c>
      <c r="K61" s="1">
        <f>VLOOKUP(Tabla1[[#This Row],[LISTA EN LA CONVENCIÓN]],ref!A$11:B$21,2,FALSE)</f>
        <v>9</v>
      </c>
      <c r="L61" s="1">
        <v>0</v>
      </c>
      <c r="M61" s="1">
        <f>VLOOKUP(C61,inp_ip_mp!$B$2:$C$156,2,FALSE)</f>
        <v>0</v>
      </c>
    </row>
    <row r="62" spans="1:13" x14ac:dyDescent="0.35">
      <c r="A62" s="1">
        <v>61</v>
      </c>
      <c r="B62" s="1" t="s">
        <v>282</v>
      </c>
      <c r="C62" s="1">
        <v>61</v>
      </c>
      <c r="D62" s="1" t="s">
        <v>509</v>
      </c>
      <c r="E62" s="1">
        <f>VLOOKUP(C62,Tabla1[[id]:[EDAD]],4,FALSE)</f>
        <v>32</v>
      </c>
      <c r="F62" s="1">
        <f>IF(Tabla1[[#This Row],[SEXO]]="Masculino",0,1)</f>
        <v>0</v>
      </c>
      <c r="G62" s="1">
        <f>VLOOKUP(C62,Tabla1[[id]:[DISTRITO ]],6,FALSE)</f>
        <v>14</v>
      </c>
      <c r="H62" s="1">
        <f>VLOOKUP(Tabla1[[#This Row],[PACTO POR EL QUE FUE ELECTO]],ref!$A$2:$B$8,2,FALSE)</f>
        <v>3</v>
      </c>
      <c r="I62" s="1">
        <f>IF(Tabla1[[#This Row],[CAMBIO DE PACTO DURANTE CONVENCIÓN]]="",0,1)</f>
        <v>1</v>
      </c>
      <c r="J62" s="1">
        <f>IF(Tabla1[[#This Row],[PUEBLO ORIGINARIO]]="",0,1)</f>
        <v>0</v>
      </c>
      <c r="K62" s="1">
        <f>VLOOKUP(Tabla1[[#This Row],[LISTA EN LA CONVENCIÓN]],ref!A$11:B$21,2,FALSE)</f>
        <v>9</v>
      </c>
      <c r="L62" s="1">
        <v>0</v>
      </c>
      <c r="M62" s="1">
        <f>VLOOKUP(C62,inp_ip_mp!$B$2:$C$156,2,FALSE)</f>
        <v>0</v>
      </c>
    </row>
    <row r="63" spans="1:13" x14ac:dyDescent="0.35">
      <c r="A63" s="1">
        <v>62</v>
      </c>
      <c r="B63" s="1" t="s">
        <v>283</v>
      </c>
      <c r="C63" s="1">
        <v>62</v>
      </c>
      <c r="D63" s="1" t="s">
        <v>497</v>
      </c>
      <c r="E63" s="1">
        <f>VLOOKUP(C63,Tabla1[[id]:[EDAD]],4,FALSE)</f>
        <v>45</v>
      </c>
      <c r="F63" s="1">
        <f>IF(Tabla1[[#This Row],[SEXO]]="Masculino",0,1)</f>
        <v>0</v>
      </c>
      <c r="G63" s="1">
        <f>VLOOKUP(C63,Tabla1[[id]:[DISTRITO ]],6,FALSE)</f>
        <v>22</v>
      </c>
      <c r="H63" s="1">
        <f>VLOOKUP(Tabla1[[#This Row],[PACTO POR EL QUE FUE ELECTO]],ref!$A$2:$B$8,2,FALSE)</f>
        <v>1</v>
      </c>
      <c r="I63" s="1">
        <f>IF(Tabla1[[#This Row],[CAMBIO DE PACTO DURANTE CONVENCIÓN]]="",0,1)</f>
        <v>0</v>
      </c>
      <c r="J63" s="1">
        <f>IF(Tabla1[[#This Row],[PUEBLO ORIGINARIO]]="",0,1)</f>
        <v>0</v>
      </c>
      <c r="K63" s="1">
        <f>VLOOKUP(Tabla1[[#This Row],[LISTA EN LA CONVENCIÓN]],ref!A$11:B$21,2,FALSE)</f>
        <v>2</v>
      </c>
      <c r="L63" s="1">
        <v>3</v>
      </c>
      <c r="M63" s="1">
        <f>VLOOKUP(C63,inp_ip_mp!$B$2:$C$156,2,FALSE)</f>
        <v>2</v>
      </c>
    </row>
    <row r="64" spans="1:13" x14ac:dyDescent="0.35">
      <c r="A64" s="1">
        <v>63</v>
      </c>
      <c r="B64" s="1" t="s">
        <v>284</v>
      </c>
      <c r="C64" s="1">
        <v>63</v>
      </c>
      <c r="D64" s="1" t="s">
        <v>487</v>
      </c>
      <c r="E64" s="1">
        <f>VLOOKUP(C64,Tabla1[[id]:[EDAD]],4,FALSE)</f>
        <v>33</v>
      </c>
      <c r="F64" s="1">
        <f>IF(Tabla1[[#This Row],[SEXO]]="Masculino",0,1)</f>
        <v>0</v>
      </c>
      <c r="G64" s="1">
        <f>VLOOKUP(C64,Tabla1[[id]:[DISTRITO ]],6,FALSE)</f>
        <v>26</v>
      </c>
      <c r="H64" s="1">
        <f>VLOOKUP(Tabla1[[#This Row],[PACTO POR EL QUE FUE ELECTO]],ref!$A$2:$B$8,2,FALSE)</f>
        <v>4</v>
      </c>
      <c r="I64" s="1">
        <f>IF(Tabla1[[#This Row],[CAMBIO DE PACTO DURANTE CONVENCIÓN]]="",0,1)</f>
        <v>0</v>
      </c>
      <c r="J64" s="1">
        <f>IF(Tabla1[[#This Row],[PUEBLO ORIGINARIO]]="",0,1)</f>
        <v>0</v>
      </c>
      <c r="K64" s="1">
        <f>VLOOKUP(Tabla1[[#This Row],[LISTA EN LA CONVENCIÓN]],ref!A$11:B$21,2,FALSE)</f>
        <v>7</v>
      </c>
      <c r="L64" s="1">
        <v>0</v>
      </c>
      <c r="M64" s="1">
        <f>VLOOKUP(C64,inp_ip_mp!$B$2:$C$156,2,FALSE)</f>
        <v>0</v>
      </c>
    </row>
    <row r="65" spans="1:13" x14ac:dyDescent="0.35">
      <c r="A65" s="1">
        <v>64</v>
      </c>
      <c r="B65" s="1" t="s">
        <v>285</v>
      </c>
      <c r="C65" s="1">
        <v>64</v>
      </c>
      <c r="D65" s="1" t="s">
        <v>433</v>
      </c>
      <c r="E65" s="1">
        <f>VLOOKUP(C65,Tabla1[[id]:[EDAD]],4,FALSE)</f>
        <v>52</v>
      </c>
      <c r="F65" s="1">
        <f>IF(Tabla1[[#This Row],[SEXO]]="Masculino",0,1)</f>
        <v>1</v>
      </c>
      <c r="G65" s="1">
        <f>VLOOKUP(C65,Tabla1[[id]:[DISTRITO ]],6,FALSE)</f>
        <v>27</v>
      </c>
      <c r="H65" s="1">
        <f>VLOOKUP(Tabla1[[#This Row],[PACTO POR EL QUE FUE ELECTO]],ref!$A$2:$B$8,2,FALSE)</f>
        <v>7</v>
      </c>
      <c r="I65" s="1">
        <f>IF(Tabla1[[#This Row],[CAMBIO DE PACTO DURANTE CONVENCIÓN]]="",0,1)</f>
        <v>0</v>
      </c>
      <c r="J65" s="1">
        <f>IF(Tabla1[[#This Row],[PUEBLO ORIGINARIO]]="",0,1)</f>
        <v>0</v>
      </c>
      <c r="K65" s="1">
        <f>VLOOKUP(Tabla1[[#This Row],[LISTA EN LA CONVENCIÓN]],ref!A$11:B$21,2,FALSE)</f>
        <v>11</v>
      </c>
      <c r="L65" s="1">
        <v>4</v>
      </c>
      <c r="M65" s="1">
        <f>VLOOKUP(C65,inp_ip_mp!$B$2:$C$156,2,FALSE)</f>
        <v>2</v>
      </c>
    </row>
    <row r="66" spans="1:13" x14ac:dyDescent="0.35">
      <c r="A66" s="1">
        <v>65</v>
      </c>
      <c r="B66" s="1" t="s">
        <v>286</v>
      </c>
      <c r="C66" s="1">
        <v>65</v>
      </c>
      <c r="D66" s="1" t="s">
        <v>416</v>
      </c>
      <c r="E66" s="1">
        <f>VLOOKUP(C66,Tabla1[[id]:[EDAD]],4,FALSE)</f>
        <v>35</v>
      </c>
      <c r="F66" s="1">
        <f>IF(Tabla1[[#This Row],[SEXO]]="Masculino",0,1)</f>
        <v>1</v>
      </c>
      <c r="G66" s="1">
        <f>VLOOKUP(C66,Tabla1[[id]:[DISTRITO ]],6,FALSE)</f>
        <v>10</v>
      </c>
      <c r="H66" s="1">
        <f>VLOOKUP(Tabla1[[#This Row],[PACTO POR EL QUE FUE ELECTO]],ref!$A$2:$B$8,2,FALSE)</f>
        <v>2</v>
      </c>
      <c r="I66" s="1">
        <f>IF(Tabla1[[#This Row],[CAMBIO DE PACTO DURANTE CONVENCIÓN]]="",0,1)</f>
        <v>0</v>
      </c>
      <c r="J66" s="1">
        <f>IF(Tabla1[[#This Row],[PUEBLO ORIGINARIO]]="",0,1)</f>
        <v>0</v>
      </c>
      <c r="K66" s="1">
        <f>VLOOKUP(Tabla1[[#This Row],[LISTA EN LA CONVENCIÓN]],ref!A$11:B$21,2,FALSE)</f>
        <v>4</v>
      </c>
      <c r="L66" s="1">
        <v>8</v>
      </c>
      <c r="M66" s="1">
        <f>VLOOKUP(C66,inp_ip_mp!$B$2:$C$156,2,FALSE)</f>
        <v>2</v>
      </c>
    </row>
    <row r="67" spans="1:13" x14ac:dyDescent="0.35">
      <c r="A67" s="1">
        <v>66</v>
      </c>
      <c r="B67" s="1" t="s">
        <v>287</v>
      </c>
      <c r="C67" s="1">
        <v>66</v>
      </c>
      <c r="D67" s="1" t="s">
        <v>474</v>
      </c>
      <c r="E67" s="1">
        <f>VLOOKUP(C67,Tabla1[[id]:[EDAD]],4,FALSE)</f>
        <v>47</v>
      </c>
      <c r="F67" s="1">
        <f>IF(Tabla1[[#This Row],[SEXO]]="Masculino",0,1)</f>
        <v>1</v>
      </c>
      <c r="G67" s="1">
        <f>VLOOKUP(C67,Tabla1[[id]:[DISTRITO ]],6,FALSE)</f>
        <v>12</v>
      </c>
      <c r="H67" s="1">
        <f>VLOOKUP(Tabla1[[#This Row],[PACTO POR EL QUE FUE ELECTO]],ref!$A$2:$B$8,2,FALSE)</f>
        <v>3</v>
      </c>
      <c r="I67" s="1">
        <f>IF(Tabla1[[#This Row],[CAMBIO DE PACTO DURANTE CONVENCIÓN]]="",0,1)</f>
        <v>0</v>
      </c>
      <c r="J67" s="1">
        <f>IF(Tabla1[[#This Row],[PUEBLO ORIGINARIO]]="",0,1)</f>
        <v>0</v>
      </c>
      <c r="K67" s="1">
        <f>VLOOKUP(Tabla1[[#This Row],[LISTA EN LA CONVENCIÓN]],ref!A$11:B$21,2,FALSE)</f>
        <v>5</v>
      </c>
      <c r="L67" s="1">
        <v>0</v>
      </c>
      <c r="M67" s="1">
        <f>VLOOKUP(C67,inp_ip_mp!$B$2:$C$156,2,FALSE)</f>
        <v>0</v>
      </c>
    </row>
    <row r="68" spans="1:13" x14ac:dyDescent="0.35">
      <c r="A68" s="1">
        <v>67</v>
      </c>
      <c r="B68" s="1" t="s">
        <v>288</v>
      </c>
      <c r="C68" s="1">
        <v>67</v>
      </c>
      <c r="D68" s="1" t="s">
        <v>530</v>
      </c>
      <c r="E68" s="1">
        <f>VLOOKUP(C68,Tabla1[[id]:[EDAD]],4,FALSE)</f>
        <v>59</v>
      </c>
      <c r="F68" s="1">
        <f>IF(Tabla1[[#This Row],[SEXO]]="Masculino",0,1)</f>
        <v>1</v>
      </c>
      <c r="G68" s="1">
        <f>VLOOKUP(C68,Tabla1[[id]:[DISTRITO ]],6,FALSE)</f>
        <v>16</v>
      </c>
      <c r="H68" s="1">
        <f>VLOOKUP(Tabla1[[#This Row],[PACTO POR EL QUE FUE ELECTO]],ref!$A$2:$B$8,2,FALSE)</f>
        <v>5</v>
      </c>
      <c r="I68" s="1">
        <f>IF(Tabla1[[#This Row],[CAMBIO DE PACTO DURANTE CONVENCIÓN]]="",0,1)</f>
        <v>1</v>
      </c>
      <c r="J68" s="1">
        <f>IF(Tabla1[[#This Row],[PUEBLO ORIGINARIO]]="",0,1)</f>
        <v>0</v>
      </c>
      <c r="K68" s="1">
        <f>VLOOKUP(Tabla1[[#This Row],[LISTA EN LA CONVENCIÓN]],ref!A$11:B$21,2,FALSE)</f>
        <v>6</v>
      </c>
      <c r="L68" s="1">
        <v>0</v>
      </c>
      <c r="M68" s="1">
        <f>VLOOKUP(C68,inp_ip_mp!$B$2:$C$156,2,FALSE)</f>
        <v>0</v>
      </c>
    </row>
    <row r="69" spans="1:13" x14ac:dyDescent="0.35">
      <c r="A69" s="1">
        <v>68</v>
      </c>
      <c r="B69" s="1" t="s">
        <v>289</v>
      </c>
      <c r="C69" s="1">
        <v>68</v>
      </c>
      <c r="D69" s="1" t="s">
        <v>434</v>
      </c>
      <c r="E69" s="1">
        <f>VLOOKUP(C69,Tabla1[[id]:[EDAD]],4,FALSE)</f>
        <v>25</v>
      </c>
      <c r="F69" s="1">
        <f>IF(Tabla1[[#This Row],[SEXO]]="Masculino",0,1)</f>
        <v>0</v>
      </c>
      <c r="G69" s="1">
        <f>VLOOKUP(C69,Tabla1[[id]:[DISTRITO ]],6,FALSE)</f>
        <v>4</v>
      </c>
      <c r="H69" s="1">
        <f>VLOOKUP(Tabla1[[#This Row],[PACTO POR EL QUE FUE ELECTO]],ref!$A$2:$B$8,2,FALSE)</f>
        <v>4</v>
      </c>
      <c r="I69" s="1">
        <f>IF(Tabla1[[#This Row],[CAMBIO DE PACTO DURANTE CONVENCIÓN]]="",0,1)</f>
        <v>0</v>
      </c>
      <c r="J69" s="1">
        <f>IF(Tabla1[[#This Row],[PUEBLO ORIGINARIO]]="",0,1)</f>
        <v>0</v>
      </c>
      <c r="K69" s="1">
        <f>VLOOKUP(Tabla1[[#This Row],[LISTA EN LA CONVENCIÓN]],ref!A$11:B$21,2,FALSE)</f>
        <v>7</v>
      </c>
      <c r="L69" s="1">
        <v>0</v>
      </c>
      <c r="M69" s="1">
        <f>VLOOKUP(C69,inp_ip_mp!$B$2:$C$156,2,FALSE)</f>
        <v>0</v>
      </c>
    </row>
    <row r="70" spans="1:13" x14ac:dyDescent="0.35">
      <c r="A70" s="1">
        <v>69</v>
      </c>
      <c r="B70" s="1" t="s">
        <v>290</v>
      </c>
      <c r="C70" s="1">
        <v>69</v>
      </c>
      <c r="D70" s="1" t="s">
        <v>461</v>
      </c>
      <c r="E70" s="1">
        <f>VLOOKUP(C70,Tabla1[[id]:[EDAD]],4,FALSE)</f>
        <v>79</v>
      </c>
      <c r="F70" s="1">
        <f>IF(Tabla1[[#This Row],[SEXO]]="Masculino",0,1)</f>
        <v>0</v>
      </c>
      <c r="G70" s="1">
        <f>VLOOKUP(C70,Tabla1[[id]:[DISTRITO ]],6,FALSE)</f>
        <v>25</v>
      </c>
      <c r="H70" s="1">
        <f>VLOOKUP(Tabla1[[#This Row],[PACTO POR EL QUE FUE ELECTO]],ref!$A$2:$B$8,2,FALSE)</f>
        <v>7</v>
      </c>
      <c r="I70" s="1">
        <f>IF(Tabla1[[#This Row],[CAMBIO DE PACTO DURANTE CONVENCIÓN]]="",0,1)</f>
        <v>0</v>
      </c>
      <c r="J70" s="1">
        <f>IF(Tabla1[[#This Row],[PUEBLO ORIGINARIO]]="",0,1)</f>
        <v>0</v>
      </c>
      <c r="K70" s="1">
        <f>VLOOKUP(Tabla1[[#This Row],[LISTA EN LA CONVENCIÓN]],ref!A$11:B$21,2,FALSE)</f>
        <v>11</v>
      </c>
      <c r="L70" s="1">
        <v>7</v>
      </c>
      <c r="M70" s="1">
        <f>VLOOKUP(C70,inp_ip_mp!$B$2:$C$156,2,FALSE)</f>
        <v>2</v>
      </c>
    </row>
    <row r="71" spans="1:13" x14ac:dyDescent="0.35">
      <c r="A71" s="1">
        <v>70</v>
      </c>
      <c r="B71" s="1" t="s">
        <v>291</v>
      </c>
      <c r="C71" s="1">
        <v>70</v>
      </c>
      <c r="D71" s="1" t="s">
        <v>446</v>
      </c>
      <c r="E71" s="1">
        <f>VLOOKUP(C71,Tabla1[[id]:[EDAD]],4,FALSE)</f>
        <v>35</v>
      </c>
      <c r="F71" s="1">
        <f>IF(Tabla1[[#This Row],[SEXO]]="Masculino",0,1)</f>
        <v>0</v>
      </c>
      <c r="G71" s="1">
        <f>VLOOKUP(C71,Tabla1[[id]:[DISTRITO ]],6,FALSE)</f>
        <v>23</v>
      </c>
      <c r="H71" s="1">
        <f>VLOOKUP(Tabla1[[#This Row],[PACTO POR EL QUE FUE ELECTO]],ref!$A$2:$B$8,2,FALSE)</f>
        <v>3</v>
      </c>
      <c r="I71" s="1">
        <f>IF(Tabla1[[#This Row],[CAMBIO DE PACTO DURANTE CONVENCIÓN]]="",0,1)</f>
        <v>1</v>
      </c>
      <c r="J71" s="1">
        <f>IF(Tabla1[[#This Row],[PUEBLO ORIGINARIO]]="",0,1)</f>
        <v>0</v>
      </c>
      <c r="K71" s="1">
        <f>VLOOKUP(Tabla1[[#This Row],[LISTA EN LA CONVENCIÓN]],ref!A$11:B$21,2,FALSE)</f>
        <v>7</v>
      </c>
      <c r="L71" s="1">
        <v>0</v>
      </c>
      <c r="M71" s="1">
        <f>VLOOKUP(C71,inp_ip_mp!$B$2:$C$156,2,FALSE)</f>
        <v>1</v>
      </c>
    </row>
    <row r="72" spans="1:13" x14ac:dyDescent="0.35">
      <c r="A72" s="1">
        <v>71</v>
      </c>
      <c r="B72" s="1" t="s">
        <v>292</v>
      </c>
      <c r="C72" s="1">
        <v>71</v>
      </c>
      <c r="D72" s="1" t="s">
        <v>390</v>
      </c>
      <c r="E72" s="1">
        <f>VLOOKUP(C72,Tabla1[[id]:[EDAD]],4,FALSE)</f>
        <v>56</v>
      </c>
      <c r="F72" s="1">
        <f>IF(Tabla1[[#This Row],[SEXO]]="Masculino",0,1)</f>
        <v>0</v>
      </c>
      <c r="G72" s="1">
        <f>VLOOKUP(C72,Tabla1[[id]:[DISTRITO ]],6,FALSE)</f>
        <v>3</v>
      </c>
      <c r="H72" s="1">
        <f>VLOOKUP(Tabla1[[#This Row],[PACTO POR EL QUE FUE ELECTO]],ref!$A$2:$B$8,2,FALSE)</f>
        <v>2</v>
      </c>
      <c r="I72" s="1">
        <f>IF(Tabla1[[#This Row],[CAMBIO DE PACTO DURANTE CONVENCIÓN]]="",0,1)</f>
        <v>0</v>
      </c>
      <c r="J72" s="1">
        <f>IF(Tabla1[[#This Row],[PUEBLO ORIGINARIO]]="",0,1)</f>
        <v>0</v>
      </c>
      <c r="K72" s="1">
        <f>VLOOKUP(Tabla1[[#This Row],[LISTA EN LA CONVENCIÓN]],ref!A$11:B$21,2,FALSE)</f>
        <v>1</v>
      </c>
      <c r="L72" s="1">
        <v>5</v>
      </c>
      <c r="M72" s="1">
        <f>VLOOKUP(C72,inp_ip_mp!$B$2:$C$156,2,FALSE)</f>
        <v>2</v>
      </c>
    </row>
    <row r="73" spans="1:13" x14ac:dyDescent="0.35">
      <c r="A73" s="1">
        <v>72</v>
      </c>
      <c r="B73" s="1" t="s">
        <v>293</v>
      </c>
      <c r="C73" s="1">
        <v>72</v>
      </c>
      <c r="D73" s="1" t="s">
        <v>456</v>
      </c>
      <c r="E73" s="1">
        <f>VLOOKUP(C73,Tabla1[[id]:[EDAD]],4,FALSE)</f>
        <v>47</v>
      </c>
      <c r="F73" s="1">
        <f>IF(Tabla1[[#This Row],[SEXO]]="Masculino",0,1)</f>
        <v>0</v>
      </c>
      <c r="G73" s="1">
        <f>VLOOKUP(C73,Tabla1[[id]:[DISTRITO ]],6,FALSE)</f>
        <v>11</v>
      </c>
      <c r="H73" s="1">
        <f>VLOOKUP(Tabla1[[#This Row],[PACTO POR EL QUE FUE ELECTO]],ref!$A$2:$B$8,2,FALSE)</f>
        <v>7</v>
      </c>
      <c r="I73" s="1">
        <f>IF(Tabla1[[#This Row],[CAMBIO DE PACTO DURANTE CONVENCIÓN]]="",0,1)</f>
        <v>0</v>
      </c>
      <c r="J73" s="1">
        <f>IF(Tabla1[[#This Row],[PUEBLO ORIGINARIO]]="",0,1)</f>
        <v>0</v>
      </c>
      <c r="K73" s="1">
        <f>VLOOKUP(Tabla1[[#This Row],[LISTA EN LA CONVENCIÓN]],ref!A$11:B$21,2,FALSE)</f>
        <v>11</v>
      </c>
      <c r="L73" s="1">
        <v>4</v>
      </c>
      <c r="M73" s="1">
        <f>VLOOKUP(C73,inp_ip_mp!$B$2:$C$156,2,FALSE)</f>
        <v>2</v>
      </c>
    </row>
    <row r="74" spans="1:13" x14ac:dyDescent="0.35">
      <c r="A74" s="1">
        <v>73</v>
      </c>
      <c r="B74" s="1" t="s">
        <v>294</v>
      </c>
      <c r="C74" s="1">
        <v>73</v>
      </c>
      <c r="D74" s="1" t="s">
        <v>472</v>
      </c>
      <c r="E74" s="1">
        <f>VLOOKUP(C74,Tabla1[[id]:[EDAD]],4,FALSE)</f>
        <v>60</v>
      </c>
      <c r="F74" s="1">
        <f>IF(Tabla1[[#This Row],[SEXO]]="Masculino",0,1)</f>
        <v>0</v>
      </c>
      <c r="G74" s="1">
        <f>VLOOKUP(C74,Tabla1[[id]:[DISTRITO ]],6,FALSE)</f>
        <v>2</v>
      </c>
      <c r="H74" s="1">
        <f>VLOOKUP(Tabla1[[#This Row],[PACTO POR EL QUE FUE ELECTO]],ref!$A$2:$B$8,2,FALSE)</f>
        <v>2</v>
      </c>
      <c r="I74" s="1">
        <f>IF(Tabla1[[#This Row],[CAMBIO DE PACTO DURANTE CONVENCIÓN]]="",0,1)</f>
        <v>0</v>
      </c>
      <c r="J74" s="1">
        <f>IF(Tabla1[[#This Row],[PUEBLO ORIGINARIO]]="",0,1)</f>
        <v>0</v>
      </c>
      <c r="K74" s="1">
        <f>VLOOKUP(Tabla1[[#This Row],[LISTA EN LA CONVENCIÓN]],ref!A$11:B$21,2,FALSE)</f>
        <v>1</v>
      </c>
      <c r="L74" s="1">
        <v>1</v>
      </c>
      <c r="M74" s="1">
        <f>VLOOKUP(C74,inp_ip_mp!$B$2:$C$156,2,FALSE)</f>
        <v>2</v>
      </c>
    </row>
    <row r="75" spans="1:13" x14ac:dyDescent="0.35">
      <c r="A75" s="1">
        <v>74</v>
      </c>
      <c r="B75" s="1" t="s">
        <v>295</v>
      </c>
      <c r="C75" s="1">
        <v>74</v>
      </c>
      <c r="D75" s="1" t="s">
        <v>532</v>
      </c>
      <c r="E75" s="1">
        <f>VLOOKUP(C75,Tabla1[[id]:[EDAD]],4,FALSE)</f>
        <v>42</v>
      </c>
      <c r="F75" s="1">
        <f>IF(Tabla1[[#This Row],[SEXO]]="Masculino",0,1)</f>
        <v>0</v>
      </c>
      <c r="G75" s="1">
        <f>VLOOKUP(C75,Tabla1[[id]:[DISTRITO ]],6,FALSE)</f>
        <v>14</v>
      </c>
      <c r="H75" s="1">
        <f>VLOOKUP(Tabla1[[#This Row],[PACTO POR EL QUE FUE ELECTO]],ref!$A$2:$B$8,2,FALSE)</f>
        <v>2</v>
      </c>
      <c r="I75" s="1">
        <f>IF(Tabla1[[#This Row],[CAMBIO DE PACTO DURANTE CONVENCIÓN]]="",0,1)</f>
        <v>0</v>
      </c>
      <c r="J75" s="1">
        <f>IF(Tabla1[[#This Row],[PUEBLO ORIGINARIO]]="",0,1)</f>
        <v>0</v>
      </c>
      <c r="K75" s="1">
        <f>VLOOKUP(Tabla1[[#This Row],[LISTA EN LA CONVENCIÓN]],ref!A$11:B$21,2,FALSE)</f>
        <v>4</v>
      </c>
      <c r="L75" s="1">
        <v>2</v>
      </c>
      <c r="M75" s="1">
        <f>VLOOKUP(C75,inp_ip_mp!$B$2:$C$156,2,FALSE)</f>
        <v>2</v>
      </c>
    </row>
    <row r="76" spans="1:13" x14ac:dyDescent="0.35">
      <c r="A76" s="1">
        <v>75</v>
      </c>
      <c r="B76" s="1" t="s">
        <v>296</v>
      </c>
      <c r="C76" s="1">
        <v>75</v>
      </c>
      <c r="D76" s="1" t="s">
        <v>384</v>
      </c>
      <c r="E76" s="1">
        <f>VLOOKUP(C76,Tabla1[[id]:[EDAD]],4,FALSE)</f>
        <v>31</v>
      </c>
      <c r="F76" s="1">
        <f>IF(Tabla1[[#This Row],[SEXO]]="Masculino",0,1)</f>
        <v>1</v>
      </c>
      <c r="G76" s="1">
        <f>VLOOKUP(C76,Tabla1[[id]:[DISTRITO ]],6,FALSE)</f>
        <v>13</v>
      </c>
      <c r="H76" s="1">
        <f>VLOOKUP(Tabla1[[#This Row],[PACTO POR EL QUE FUE ELECTO]],ref!$A$2:$B$8,2,FALSE)</f>
        <v>3</v>
      </c>
      <c r="I76" s="1">
        <f>IF(Tabla1[[#This Row],[CAMBIO DE PACTO DURANTE CONVENCIÓN]]="",0,1)</f>
        <v>1</v>
      </c>
      <c r="J76" s="1">
        <f>IF(Tabla1[[#This Row],[PUEBLO ORIGINARIO]]="",0,1)</f>
        <v>0</v>
      </c>
      <c r="K76" s="1">
        <f>VLOOKUP(Tabla1[[#This Row],[LISTA EN LA CONVENCIÓN]],ref!A$11:B$21,2,FALSE)</f>
        <v>9</v>
      </c>
      <c r="L76" s="1">
        <v>0</v>
      </c>
      <c r="M76" s="1">
        <f>VLOOKUP(C76,inp_ip_mp!$B$2:$C$156,2,FALSE)</f>
        <v>0</v>
      </c>
    </row>
    <row r="77" spans="1:13" x14ac:dyDescent="0.35">
      <c r="A77" s="1">
        <v>76</v>
      </c>
      <c r="B77" s="1" t="s">
        <v>297</v>
      </c>
      <c r="C77" s="1">
        <v>76</v>
      </c>
      <c r="D77" s="1" t="s">
        <v>477</v>
      </c>
      <c r="E77" s="1">
        <f>VLOOKUP(C77,Tabla1[[id]:[EDAD]],4,FALSE)</f>
        <v>54</v>
      </c>
      <c r="F77" s="1">
        <f>IF(Tabla1[[#This Row],[SEXO]]="Masculino",0,1)</f>
        <v>1</v>
      </c>
      <c r="G77" s="1">
        <f>VLOOKUP(C77,Tabla1[[id]:[DISTRITO ]],6,FALSE)</f>
        <v>29</v>
      </c>
      <c r="H77" s="1">
        <f>VLOOKUP(Tabla1[[#This Row],[PACTO POR EL QUE FUE ELECTO]],ref!$A$2:$B$8,2,FALSE)</f>
        <v>6</v>
      </c>
      <c r="I77" s="1">
        <f>IF(Tabla1[[#This Row],[CAMBIO DE PACTO DURANTE CONVENCIÓN]]="",0,1)</f>
        <v>0</v>
      </c>
      <c r="J77" s="1">
        <f>IF(Tabla1[[#This Row],[PUEBLO ORIGINARIO]]="",0,1)</f>
        <v>1</v>
      </c>
      <c r="K77" s="1">
        <f>VLOOKUP(Tabla1[[#This Row],[LISTA EN LA CONVENCIÓN]],ref!A$11:B$21,2,FALSE)</f>
        <v>10</v>
      </c>
      <c r="L77" s="1">
        <v>17</v>
      </c>
      <c r="M77" s="1">
        <f>VLOOKUP(C77,inp_ip_mp!$B$2:$C$156,2,FALSE)</f>
        <v>0</v>
      </c>
    </row>
    <row r="78" spans="1:13" x14ac:dyDescent="0.35">
      <c r="A78" s="1">
        <v>77</v>
      </c>
      <c r="B78" s="1" t="s">
        <v>298</v>
      </c>
      <c r="C78" s="1">
        <v>77</v>
      </c>
      <c r="D78" s="1" t="s">
        <v>449</v>
      </c>
      <c r="E78" s="1">
        <f>VLOOKUP(C78,Tabla1[[id]:[EDAD]],4,FALSE)</f>
        <v>34</v>
      </c>
      <c r="F78" s="1">
        <f>IF(Tabla1[[#This Row],[SEXO]]="Masculino",0,1)</f>
        <v>1</v>
      </c>
      <c r="G78" s="1">
        <f>VLOOKUP(C78,Tabla1[[id]:[DISTRITO ]],6,FALSE)</f>
        <v>29</v>
      </c>
      <c r="H78" s="1">
        <f>VLOOKUP(Tabla1[[#This Row],[PACTO POR EL QUE FUE ELECTO]],ref!$A$2:$B$8,2,FALSE)</f>
        <v>6</v>
      </c>
      <c r="I78" s="1">
        <f>IF(Tabla1[[#This Row],[CAMBIO DE PACTO DURANTE CONVENCIÓN]]="",0,1)</f>
        <v>0</v>
      </c>
      <c r="J78" s="1">
        <f>IF(Tabla1[[#This Row],[PUEBLO ORIGINARIO]]="",0,1)</f>
        <v>1</v>
      </c>
      <c r="K78" s="1">
        <f>VLOOKUP(Tabla1[[#This Row],[LISTA EN LA CONVENCIÓN]],ref!A$11:B$21,2,FALSE)</f>
        <v>10</v>
      </c>
      <c r="L78" s="1">
        <v>17</v>
      </c>
      <c r="M78" s="1">
        <f>VLOOKUP(C78,inp_ip_mp!$B$2:$C$156,2,FALSE)</f>
        <v>0</v>
      </c>
    </row>
    <row r="79" spans="1:13" x14ac:dyDescent="0.35">
      <c r="A79" s="1">
        <v>78</v>
      </c>
      <c r="B79" s="1" t="s">
        <v>299</v>
      </c>
      <c r="C79" s="1">
        <v>78</v>
      </c>
      <c r="D79" s="1" t="s">
        <v>430</v>
      </c>
      <c r="E79" s="1">
        <f>VLOOKUP(C79,Tabla1[[id]:[EDAD]],4,FALSE)</f>
        <v>31</v>
      </c>
      <c r="F79" s="1">
        <f>IF(Tabla1[[#This Row],[SEXO]]="Masculino",0,1)</f>
        <v>1</v>
      </c>
      <c r="G79" s="1">
        <f>VLOOKUP(C79,Tabla1[[id]:[DISTRITO ]],6,FALSE)</f>
        <v>5</v>
      </c>
      <c r="H79" s="1">
        <f>VLOOKUP(Tabla1[[#This Row],[PACTO POR EL QUE FUE ELECTO]],ref!$A$2:$B$8,2,FALSE)</f>
        <v>3</v>
      </c>
      <c r="I79" s="1">
        <f>IF(Tabla1[[#This Row],[CAMBIO DE PACTO DURANTE CONVENCIÓN]]="",0,1)</f>
        <v>1</v>
      </c>
      <c r="J79" s="1">
        <f>IF(Tabla1[[#This Row],[PUEBLO ORIGINARIO]]="",0,1)</f>
        <v>0</v>
      </c>
      <c r="K79" s="1">
        <f>VLOOKUP(Tabla1[[#This Row],[LISTA EN LA CONVENCIÓN]],ref!A$11:B$21,2,FALSE)</f>
        <v>9</v>
      </c>
      <c r="L79" s="1">
        <v>0</v>
      </c>
      <c r="M79" s="1">
        <f>VLOOKUP(C79,inp_ip_mp!$B$2:$C$156,2,FALSE)</f>
        <v>0</v>
      </c>
    </row>
    <row r="80" spans="1:13" x14ac:dyDescent="0.35">
      <c r="A80" s="1">
        <v>79</v>
      </c>
      <c r="B80" s="1" t="s">
        <v>300</v>
      </c>
      <c r="C80" s="1">
        <v>79</v>
      </c>
      <c r="D80" s="1" t="s">
        <v>513</v>
      </c>
      <c r="E80" s="1">
        <f>VLOOKUP(C80,Tabla1[[id]:[EDAD]],4,FALSE)</f>
        <v>45</v>
      </c>
      <c r="F80" s="1">
        <f>IF(Tabla1[[#This Row],[SEXO]]="Masculino",0,1)</f>
        <v>0</v>
      </c>
      <c r="G80" s="1">
        <f>VLOOKUP(C80,Tabla1[[id]:[DISTRITO ]],6,FALSE)</f>
        <v>7</v>
      </c>
      <c r="H80" s="1">
        <f>VLOOKUP(Tabla1[[#This Row],[PACTO POR EL QUE FUE ELECTO]],ref!$A$2:$B$8,2,FALSE)</f>
        <v>2</v>
      </c>
      <c r="I80" s="1">
        <f>IF(Tabla1[[#This Row],[CAMBIO DE PACTO DURANTE CONVENCIÓN]]="",0,1)</f>
        <v>0</v>
      </c>
      <c r="J80" s="1">
        <f>IF(Tabla1[[#This Row],[PUEBLO ORIGINARIO]]="",0,1)</f>
        <v>0</v>
      </c>
      <c r="K80" s="1">
        <f>VLOOKUP(Tabla1[[#This Row],[LISTA EN LA CONVENCIÓN]],ref!A$11:B$21,2,FALSE)</f>
        <v>4</v>
      </c>
      <c r="L80" s="1">
        <v>0</v>
      </c>
      <c r="M80" s="1">
        <f>VLOOKUP(C80,inp_ip_mp!$B$2:$C$156,2,FALSE)</f>
        <v>1</v>
      </c>
    </row>
    <row r="81" spans="1:13" x14ac:dyDescent="0.35">
      <c r="A81" s="1">
        <v>80</v>
      </c>
      <c r="B81" s="1" t="s">
        <v>301</v>
      </c>
      <c r="C81" s="1">
        <v>80</v>
      </c>
      <c r="D81" s="1" t="s">
        <v>442</v>
      </c>
      <c r="E81" s="1">
        <f>VLOOKUP(C81,Tabla1[[id]:[EDAD]],4,FALSE)</f>
        <v>32</v>
      </c>
      <c r="F81" s="1">
        <f>IF(Tabla1[[#This Row],[SEXO]]="Masculino",0,1)</f>
        <v>1</v>
      </c>
      <c r="G81" s="1">
        <f>VLOOKUP(C81,Tabla1[[id]:[DISTRITO ]],6,FALSE)</f>
        <v>6</v>
      </c>
      <c r="H81" s="1">
        <f>VLOOKUP(Tabla1[[#This Row],[PACTO POR EL QUE FUE ELECTO]],ref!$A$2:$B$8,2,FALSE)</f>
        <v>5</v>
      </c>
      <c r="I81" s="1">
        <f>IF(Tabla1[[#This Row],[CAMBIO DE PACTO DURANTE CONVENCIÓN]]="",0,1)</f>
        <v>1</v>
      </c>
      <c r="J81" s="1">
        <f>IF(Tabla1[[#This Row],[PUEBLO ORIGINARIO]]="",0,1)</f>
        <v>0</v>
      </c>
      <c r="K81" s="1">
        <f>VLOOKUP(Tabla1[[#This Row],[LISTA EN LA CONVENCIÓN]],ref!A$11:B$21,2,FALSE)</f>
        <v>6</v>
      </c>
      <c r="L81" s="1">
        <v>0</v>
      </c>
      <c r="M81" s="1">
        <f>VLOOKUP(C81,inp_ip_mp!$B$2:$C$156,2,FALSE)</f>
        <v>1</v>
      </c>
    </row>
    <row r="82" spans="1:13" x14ac:dyDescent="0.35">
      <c r="A82" s="1">
        <v>81</v>
      </c>
      <c r="B82" s="1" t="s">
        <v>302</v>
      </c>
      <c r="C82" s="1">
        <v>81</v>
      </c>
      <c r="D82" s="1" t="s">
        <v>482</v>
      </c>
      <c r="E82" s="1">
        <f>VLOOKUP(C82,Tabla1[[id]:[EDAD]],4,FALSE)</f>
        <v>33</v>
      </c>
      <c r="F82" s="1">
        <f>IF(Tabla1[[#This Row],[SEXO]]="Masculino",0,1)</f>
        <v>0</v>
      </c>
      <c r="G82" s="1">
        <f>VLOOKUP(C82,Tabla1[[id]:[DISTRITO ]],6,FALSE)</f>
        <v>21</v>
      </c>
      <c r="H82" s="1">
        <f>VLOOKUP(Tabla1[[#This Row],[PACTO POR EL QUE FUE ELECTO]],ref!$A$2:$B$8,2,FALSE)</f>
        <v>4</v>
      </c>
      <c r="I82" s="1">
        <f>IF(Tabla1[[#This Row],[CAMBIO DE PACTO DURANTE CONVENCIÓN]]="",0,1)</f>
        <v>0</v>
      </c>
      <c r="J82" s="1">
        <f>IF(Tabla1[[#This Row],[PUEBLO ORIGINARIO]]="",0,1)</f>
        <v>0</v>
      </c>
      <c r="K82" s="1">
        <f>VLOOKUP(Tabla1[[#This Row],[LISTA EN LA CONVENCIÓN]],ref!A$11:B$21,2,FALSE)</f>
        <v>7</v>
      </c>
      <c r="L82" s="1">
        <v>0</v>
      </c>
      <c r="M82" s="1">
        <f>VLOOKUP(C82,inp_ip_mp!$B$2:$C$156,2,FALSE)</f>
        <v>0</v>
      </c>
    </row>
    <row r="83" spans="1:13" x14ac:dyDescent="0.35">
      <c r="A83" s="1">
        <v>82</v>
      </c>
      <c r="B83" s="1" t="s">
        <v>303</v>
      </c>
      <c r="C83" s="1">
        <v>82</v>
      </c>
      <c r="D83" s="1" t="s">
        <v>444</v>
      </c>
      <c r="E83" s="1">
        <f>VLOOKUP(C83,Tabla1[[id]:[EDAD]],4,FALSE)</f>
        <v>41</v>
      </c>
      <c r="F83" s="1">
        <f>IF(Tabla1[[#This Row],[SEXO]]="Masculino",0,1)</f>
        <v>1</v>
      </c>
      <c r="G83" s="1">
        <f>VLOOKUP(C83,Tabla1[[id]:[DISTRITO ]],6,FALSE)</f>
        <v>5</v>
      </c>
      <c r="H83" s="1">
        <f>VLOOKUP(Tabla1[[#This Row],[PACTO POR EL QUE FUE ELECTO]],ref!$A$2:$B$8,2,FALSE)</f>
        <v>2</v>
      </c>
      <c r="I83" s="1">
        <f>IF(Tabla1[[#This Row],[CAMBIO DE PACTO DURANTE CONVENCIÓN]]="",0,1)</f>
        <v>0</v>
      </c>
      <c r="J83" s="1">
        <f>IF(Tabla1[[#This Row],[PUEBLO ORIGINARIO]]="",0,1)</f>
        <v>0</v>
      </c>
      <c r="K83" s="1">
        <f>VLOOKUP(Tabla1[[#This Row],[LISTA EN LA CONVENCIÓN]],ref!A$11:B$21,2,FALSE)</f>
        <v>4</v>
      </c>
      <c r="L83" s="1">
        <v>0</v>
      </c>
      <c r="M83" s="1">
        <f>VLOOKUP(C83,inp_ip_mp!$B$2:$C$156,2,FALSE)</f>
        <v>1</v>
      </c>
    </row>
    <row r="84" spans="1:13" x14ac:dyDescent="0.35">
      <c r="A84" s="1">
        <v>83</v>
      </c>
      <c r="B84" s="1" t="s">
        <v>304</v>
      </c>
      <c r="C84" s="1">
        <v>83</v>
      </c>
      <c r="D84" s="1" t="s">
        <v>533</v>
      </c>
      <c r="E84" s="1">
        <f>VLOOKUP(C84,Tabla1[[id]:[EDAD]],4,FALSE)</f>
        <v>55</v>
      </c>
      <c r="F84" s="1">
        <f>IF(Tabla1[[#This Row],[SEXO]]="Masculino",0,1)</f>
        <v>0</v>
      </c>
      <c r="G84" s="1">
        <f>VLOOKUP(C84,Tabla1[[id]:[DISTRITO ]],6,FALSE)</f>
        <v>1</v>
      </c>
      <c r="H84" s="1">
        <f>VLOOKUP(Tabla1[[#This Row],[PACTO POR EL QUE FUE ELECTO]],ref!$A$2:$B$8,2,FALSE)</f>
        <v>1</v>
      </c>
      <c r="I84" s="1">
        <f>IF(Tabla1[[#This Row],[CAMBIO DE PACTO DURANTE CONVENCIÓN]]="",0,1)</f>
        <v>0</v>
      </c>
      <c r="J84" s="1">
        <f>IF(Tabla1[[#This Row],[PUEBLO ORIGINARIO]]="",0,1)</f>
        <v>0</v>
      </c>
      <c r="K84" s="1">
        <f>VLOOKUP(Tabla1[[#This Row],[LISTA EN LA CONVENCIÓN]],ref!A$11:B$21,2,FALSE)</f>
        <v>7</v>
      </c>
      <c r="L84" s="1">
        <v>0</v>
      </c>
      <c r="M84" s="1">
        <f>VLOOKUP(C84,inp_ip_mp!$B$2:$C$156,2,FALSE)</f>
        <v>1</v>
      </c>
    </row>
    <row r="85" spans="1:13" x14ac:dyDescent="0.35">
      <c r="A85" s="1">
        <v>84</v>
      </c>
      <c r="B85" s="1" t="s">
        <v>305</v>
      </c>
      <c r="C85" s="1">
        <v>84</v>
      </c>
      <c r="D85" s="1" t="s">
        <v>517</v>
      </c>
      <c r="E85" s="1">
        <f>VLOOKUP(C85,Tabla1[[id]:[EDAD]],4,FALSE)</f>
        <v>52</v>
      </c>
      <c r="F85" s="1">
        <f>IF(Tabla1[[#This Row],[SEXO]]="Masculino",0,1)</f>
        <v>0</v>
      </c>
      <c r="G85" s="1">
        <f>VLOOKUP(C85,Tabla1[[id]:[DISTRITO ]],6,FALSE)</f>
        <v>10</v>
      </c>
      <c r="H85" s="1">
        <f>VLOOKUP(Tabla1[[#This Row],[PACTO POR EL QUE FUE ELECTO]],ref!$A$2:$B$8,2,FALSE)</f>
        <v>1</v>
      </c>
      <c r="I85" s="1">
        <f>IF(Tabla1[[#This Row],[CAMBIO DE PACTO DURANTE CONVENCIÓN]]="",0,1)</f>
        <v>0</v>
      </c>
      <c r="J85" s="1">
        <f>IF(Tabla1[[#This Row],[PUEBLO ORIGINARIO]]="",0,1)</f>
        <v>0</v>
      </c>
      <c r="K85" s="1">
        <f>VLOOKUP(Tabla1[[#This Row],[LISTA EN LA CONVENCIÓN]],ref!A$11:B$21,2,FALSE)</f>
        <v>4</v>
      </c>
      <c r="L85" s="1">
        <v>0</v>
      </c>
      <c r="M85" s="1">
        <f>VLOOKUP(C85,inp_ip_mp!$B$2:$C$156,2,FALSE)</f>
        <v>1</v>
      </c>
    </row>
    <row r="86" spans="1:13" x14ac:dyDescent="0.35">
      <c r="A86" s="1">
        <v>85</v>
      </c>
      <c r="B86" s="1" t="s">
        <v>572</v>
      </c>
      <c r="C86" s="1">
        <v>85</v>
      </c>
      <c r="D86" s="1" t="s">
        <v>523</v>
      </c>
      <c r="E86" s="1">
        <f>VLOOKUP(C86,Tabla1[[id]:[EDAD]],4,FALSE)</f>
        <v>58</v>
      </c>
      <c r="F86" s="1">
        <f>IF(Tabla1[[#This Row],[SEXO]]="Masculino",0,1)</f>
        <v>0</v>
      </c>
      <c r="G86" s="1">
        <f>VLOOKUP(C86,Tabla1[[id]:[DISTRITO ]],6,FALSE)</f>
        <v>7</v>
      </c>
      <c r="H86" s="1">
        <f>VLOOKUP(Tabla1[[#This Row],[PACTO POR EL QUE FUE ELECTO]],ref!$A$2:$B$8,2,FALSE)</f>
        <v>7</v>
      </c>
      <c r="I86" s="1">
        <f>IF(Tabla1[[#This Row],[CAMBIO DE PACTO DURANTE CONVENCIÓN]]="",0,1)</f>
        <v>0</v>
      </c>
      <c r="J86" s="1">
        <f>IF(Tabla1[[#This Row],[PUEBLO ORIGINARIO]]="",0,1)</f>
        <v>0</v>
      </c>
      <c r="K86" s="1">
        <f>VLOOKUP(Tabla1[[#This Row],[LISTA EN LA CONVENCIÓN]],ref!A$11:B$21,2,FALSE)</f>
        <v>11</v>
      </c>
      <c r="L86" s="1">
        <v>0</v>
      </c>
      <c r="M86" s="1">
        <f>VLOOKUP(C86,inp_ip_mp!$B$2:$C$156,2,FALSE)</f>
        <v>1</v>
      </c>
    </row>
    <row r="87" spans="1:13" x14ac:dyDescent="0.35">
      <c r="A87" s="1">
        <v>86</v>
      </c>
      <c r="B87" s="1" t="s">
        <v>306</v>
      </c>
      <c r="C87" s="1">
        <v>86</v>
      </c>
      <c r="D87" s="1" t="s">
        <v>447</v>
      </c>
      <c r="E87" s="1">
        <f>VLOOKUP(C87,Tabla1[[id]:[EDAD]],4,FALSE)</f>
        <v>54</v>
      </c>
      <c r="F87" s="1">
        <f>IF(Tabla1[[#This Row],[SEXO]]="Masculino",0,1)</f>
        <v>0</v>
      </c>
      <c r="G87" s="1">
        <f>VLOOKUP(C87,Tabla1[[id]:[DISTRITO ]],6,FALSE)</f>
        <v>12</v>
      </c>
      <c r="H87" s="1">
        <f>VLOOKUP(Tabla1[[#This Row],[PACTO POR EL QUE FUE ELECTO]],ref!$A$2:$B$8,2,FALSE)</f>
        <v>4</v>
      </c>
      <c r="I87" s="1">
        <f>IF(Tabla1[[#This Row],[CAMBIO DE PACTO DURANTE CONVENCIÓN]]="",0,1)</f>
        <v>0</v>
      </c>
      <c r="J87" s="1">
        <f>IF(Tabla1[[#This Row],[PUEBLO ORIGINARIO]]="",0,1)</f>
        <v>0</v>
      </c>
      <c r="K87" s="1">
        <f>VLOOKUP(Tabla1[[#This Row],[LISTA EN LA CONVENCIÓN]],ref!A$11:B$21,2,FALSE)</f>
        <v>7</v>
      </c>
      <c r="L87" s="1">
        <v>0</v>
      </c>
      <c r="M87" s="1">
        <f>VLOOKUP(C87,inp_ip_mp!$B$2:$C$156,2,FALSE)</f>
        <v>0</v>
      </c>
    </row>
    <row r="88" spans="1:13" x14ac:dyDescent="0.35">
      <c r="A88" s="1">
        <v>87</v>
      </c>
      <c r="B88" s="1" t="s">
        <v>307</v>
      </c>
      <c r="C88" s="1">
        <v>87</v>
      </c>
      <c r="D88" s="1" t="s">
        <v>529</v>
      </c>
      <c r="E88" s="1">
        <f>VLOOKUP(C88,Tabla1[[id]:[EDAD]],4,FALSE)</f>
        <v>57</v>
      </c>
      <c r="F88" s="1">
        <f>IF(Tabla1[[#This Row],[SEXO]]="Masculino",0,1)</f>
        <v>0</v>
      </c>
      <c r="G88" s="1">
        <f>VLOOKUP(C88,Tabla1[[id]:[DISTRITO ]],6,FALSE)</f>
        <v>26</v>
      </c>
      <c r="H88" s="1">
        <f>VLOOKUP(Tabla1[[#This Row],[PACTO POR EL QUE FUE ELECTO]],ref!$A$2:$B$8,2,FALSE)</f>
        <v>1</v>
      </c>
      <c r="I88" s="1">
        <f>IF(Tabla1[[#This Row],[CAMBIO DE PACTO DURANTE CONVENCIÓN]]="",0,1)</f>
        <v>0</v>
      </c>
      <c r="J88" s="1">
        <f>IF(Tabla1[[#This Row],[PUEBLO ORIGINARIO]]="",0,1)</f>
        <v>0</v>
      </c>
      <c r="K88" s="1">
        <f>VLOOKUP(Tabla1[[#This Row],[LISTA EN LA CONVENCIÓN]],ref!A$11:B$21,2,FALSE)</f>
        <v>3</v>
      </c>
      <c r="L88" s="1">
        <v>9</v>
      </c>
      <c r="M88" s="1">
        <f>VLOOKUP(C88,inp_ip_mp!$B$2:$C$156,2,FALSE)</f>
        <v>2</v>
      </c>
    </row>
    <row r="89" spans="1:13" x14ac:dyDescent="0.35">
      <c r="A89" s="1">
        <v>88</v>
      </c>
      <c r="B89" s="1" t="s">
        <v>308</v>
      </c>
      <c r="C89" s="1">
        <v>88</v>
      </c>
      <c r="D89" s="1" t="s">
        <v>438</v>
      </c>
      <c r="E89" s="1">
        <f>VLOOKUP(C89,Tabla1[[id]:[EDAD]],4,FALSE)</f>
        <v>31</v>
      </c>
      <c r="F89" s="1">
        <f>IF(Tabla1[[#This Row],[SEXO]]="Masculino",0,1)</f>
        <v>1</v>
      </c>
      <c r="G89" s="1">
        <f>VLOOKUP(C89,Tabla1[[id]:[DISTRITO ]],6,FALSE)</f>
        <v>26</v>
      </c>
      <c r="H89" s="1">
        <f>VLOOKUP(Tabla1[[#This Row],[PACTO POR EL QUE FUE ELECTO]],ref!$A$2:$B$8,2,FALSE)</f>
        <v>7</v>
      </c>
      <c r="I89" s="1">
        <f>IF(Tabla1[[#This Row],[CAMBIO DE PACTO DURANTE CONVENCIÓN]]="",0,1)</f>
        <v>0</v>
      </c>
      <c r="J89" s="1">
        <f>IF(Tabla1[[#This Row],[PUEBLO ORIGINARIO]]="",0,1)</f>
        <v>0</v>
      </c>
      <c r="K89" s="1">
        <f>VLOOKUP(Tabla1[[#This Row],[LISTA EN LA CONVENCIÓN]],ref!A$11:B$21,2,FALSE)</f>
        <v>11</v>
      </c>
      <c r="L89" s="1">
        <v>10</v>
      </c>
      <c r="M89" s="1">
        <f>VLOOKUP(C89,inp_ip_mp!$B$2:$C$156,2,FALSE)</f>
        <v>2</v>
      </c>
    </row>
    <row r="90" spans="1:13" x14ac:dyDescent="0.35">
      <c r="A90" s="1">
        <v>89</v>
      </c>
      <c r="B90" s="1" t="s">
        <v>309</v>
      </c>
      <c r="C90" s="1">
        <v>89</v>
      </c>
      <c r="D90" s="1" t="s">
        <v>475</v>
      </c>
      <c r="E90" s="1">
        <f>VLOOKUP(C90,Tabla1[[id]:[EDAD]],4,FALSE)</f>
        <v>55</v>
      </c>
      <c r="F90" s="1">
        <f>IF(Tabla1[[#This Row],[SEXO]]="Masculino",0,1)</f>
        <v>1</v>
      </c>
      <c r="G90" s="1">
        <f>VLOOKUP(C90,Tabla1[[id]:[DISTRITO ]],6,FALSE)</f>
        <v>29</v>
      </c>
      <c r="H90" s="1">
        <f>VLOOKUP(Tabla1[[#This Row],[PACTO POR EL QUE FUE ELECTO]],ref!$A$2:$B$8,2,FALSE)</f>
        <v>6</v>
      </c>
      <c r="I90" s="1">
        <f>IF(Tabla1[[#This Row],[CAMBIO DE PACTO DURANTE CONVENCIÓN]]="",0,1)</f>
        <v>0</v>
      </c>
      <c r="J90" s="1">
        <f>IF(Tabla1[[#This Row],[PUEBLO ORIGINARIO]]="",0,1)</f>
        <v>1</v>
      </c>
      <c r="K90" s="1">
        <f>VLOOKUP(Tabla1[[#This Row],[LISTA EN LA CONVENCIÓN]],ref!A$11:B$21,2,FALSE)</f>
        <v>10</v>
      </c>
      <c r="L90" s="1">
        <v>17</v>
      </c>
      <c r="M90" s="1">
        <f>VLOOKUP(C90,inp_ip_mp!$B$2:$C$156,2,FALSE)</f>
        <v>1</v>
      </c>
    </row>
    <row r="91" spans="1:13" x14ac:dyDescent="0.35">
      <c r="A91" s="1">
        <v>90</v>
      </c>
      <c r="B91" s="1" t="s">
        <v>310</v>
      </c>
      <c r="C91" s="1">
        <v>90</v>
      </c>
      <c r="D91" s="1" t="s">
        <v>389</v>
      </c>
      <c r="E91" s="1">
        <f>VLOOKUP(C91,Tabla1[[id]:[EDAD]],4,FALSE)</f>
        <v>29</v>
      </c>
      <c r="F91" s="1">
        <f>IF(Tabla1[[#This Row],[SEXO]]="Masculino",0,1)</f>
        <v>1</v>
      </c>
      <c r="G91" s="1">
        <f>VLOOKUP(C91,Tabla1[[id]:[DISTRITO ]],6,FALSE)</f>
        <v>6</v>
      </c>
      <c r="H91" s="1">
        <f>VLOOKUP(Tabla1[[#This Row],[PACTO POR EL QUE FUE ELECTO]],ref!$A$2:$B$8,2,FALSE)</f>
        <v>3</v>
      </c>
      <c r="I91" s="1">
        <f>IF(Tabla1[[#This Row],[CAMBIO DE PACTO DURANTE CONVENCIÓN]]="",0,1)</f>
        <v>1</v>
      </c>
      <c r="J91" s="1">
        <f>IF(Tabla1[[#This Row],[PUEBLO ORIGINARIO]]="",0,1)</f>
        <v>0</v>
      </c>
      <c r="K91" s="1">
        <f>VLOOKUP(Tabla1[[#This Row],[LISTA EN LA CONVENCIÓN]],ref!A$11:B$21,2,FALSE)</f>
        <v>9</v>
      </c>
      <c r="L91" s="1">
        <v>0</v>
      </c>
      <c r="M91" s="1">
        <f>VLOOKUP(C91,inp_ip_mp!$B$2:$C$156,2,FALSE)</f>
        <v>0</v>
      </c>
    </row>
    <row r="92" spans="1:13" x14ac:dyDescent="0.35">
      <c r="A92" s="1">
        <v>91</v>
      </c>
      <c r="B92" s="1" t="s">
        <v>311</v>
      </c>
      <c r="C92" s="1">
        <v>91</v>
      </c>
      <c r="D92" s="1" t="s">
        <v>491</v>
      </c>
      <c r="E92" s="1">
        <f>VLOOKUP(C92,Tabla1[[id]:[EDAD]],4,FALSE)</f>
        <v>48</v>
      </c>
      <c r="F92" s="1">
        <f>IF(Tabla1[[#This Row],[SEXO]]="Masculino",0,1)</f>
        <v>1</v>
      </c>
      <c r="G92" s="1">
        <f>VLOOKUP(C92,Tabla1[[id]:[DISTRITO ]],6,FALSE)</f>
        <v>23</v>
      </c>
      <c r="H92" s="1">
        <f>VLOOKUP(Tabla1[[#This Row],[PACTO POR EL QUE FUE ELECTO]],ref!$A$2:$B$8,2,FALSE)</f>
        <v>4</v>
      </c>
      <c r="I92" s="1">
        <f>IF(Tabla1[[#This Row],[CAMBIO DE PACTO DURANTE CONVENCIÓN]]="",0,1)</f>
        <v>0</v>
      </c>
      <c r="J92" s="1">
        <f>IF(Tabla1[[#This Row],[PUEBLO ORIGINARIO]]="",0,1)</f>
        <v>0</v>
      </c>
      <c r="K92" s="1">
        <f>VLOOKUP(Tabla1[[#This Row],[LISTA EN LA CONVENCIÓN]],ref!A$11:B$21,2,FALSE)</f>
        <v>7</v>
      </c>
      <c r="L92" s="1">
        <v>0</v>
      </c>
      <c r="M92" s="1">
        <f>VLOOKUP(C92,inp_ip_mp!$B$2:$C$156,2,FALSE)</f>
        <v>0</v>
      </c>
    </row>
    <row r="93" spans="1:13" x14ac:dyDescent="0.35">
      <c r="A93" s="1">
        <v>92</v>
      </c>
      <c r="B93" s="1" t="s">
        <v>312</v>
      </c>
      <c r="C93" s="1">
        <v>92</v>
      </c>
      <c r="D93" s="1" t="s">
        <v>395</v>
      </c>
      <c r="E93" s="1">
        <f>VLOOKUP(C93,Tabla1[[id]:[EDAD]],4,FALSE)</f>
        <v>42</v>
      </c>
      <c r="F93" s="1">
        <f>IF(Tabla1[[#This Row],[SEXO]]="Masculino",0,1)</f>
        <v>1</v>
      </c>
      <c r="G93" s="1">
        <f>VLOOKUP(C93,Tabla1[[id]:[DISTRITO ]],6,FALSE)</f>
        <v>15</v>
      </c>
      <c r="H93" s="1">
        <f>VLOOKUP(Tabla1[[#This Row],[PACTO POR EL QUE FUE ELECTO]],ref!$A$2:$B$8,2,FALSE)</f>
        <v>3</v>
      </c>
      <c r="I93" s="1">
        <f>IF(Tabla1[[#This Row],[CAMBIO DE PACTO DURANTE CONVENCIÓN]]="",0,1)</f>
        <v>1</v>
      </c>
      <c r="J93" s="1">
        <f>IF(Tabla1[[#This Row],[PUEBLO ORIGINARIO]]="",0,1)</f>
        <v>0</v>
      </c>
      <c r="K93" s="1">
        <f>VLOOKUP(Tabla1[[#This Row],[LISTA EN LA CONVENCIÓN]],ref!A$11:B$21,2,FALSE)</f>
        <v>9</v>
      </c>
      <c r="L93" s="1">
        <v>0</v>
      </c>
      <c r="M93" s="1">
        <f>VLOOKUP(C93,inp_ip_mp!$B$2:$C$156,2,FALSE)</f>
        <v>0</v>
      </c>
    </row>
    <row r="94" spans="1:13" x14ac:dyDescent="0.35">
      <c r="A94" s="1">
        <v>93</v>
      </c>
      <c r="B94" s="1" t="s">
        <v>313</v>
      </c>
      <c r="C94" s="1">
        <v>93</v>
      </c>
      <c r="D94" s="1" t="s">
        <v>407</v>
      </c>
      <c r="E94" s="1">
        <f>VLOOKUP(C94,Tabla1[[id]:[EDAD]],4,FALSE)</f>
        <v>51</v>
      </c>
      <c r="F94" s="1">
        <f>IF(Tabla1[[#This Row],[SEXO]]="Masculino",0,1)</f>
        <v>0</v>
      </c>
      <c r="G94" s="1">
        <f>VLOOKUP(C94,Tabla1[[id]:[DISTRITO ]],6,FALSE)</f>
        <v>20</v>
      </c>
      <c r="H94" s="1">
        <f>VLOOKUP(Tabla1[[#This Row],[PACTO POR EL QUE FUE ELECTO]],ref!$A$2:$B$8,2,FALSE)</f>
        <v>7</v>
      </c>
      <c r="I94" s="1">
        <f>IF(Tabla1[[#This Row],[CAMBIO DE PACTO DURANTE CONVENCIÓN]]="",0,1)</f>
        <v>0</v>
      </c>
      <c r="J94" s="1">
        <f>IF(Tabla1[[#This Row],[PUEBLO ORIGINARIO]]="",0,1)</f>
        <v>0</v>
      </c>
      <c r="K94" s="1">
        <f>VLOOKUP(Tabla1[[#This Row],[LISTA EN LA CONVENCIÓN]],ref!A$11:B$21,2,FALSE)</f>
        <v>11</v>
      </c>
      <c r="L94" s="1">
        <v>7</v>
      </c>
      <c r="M94" s="1">
        <f>VLOOKUP(C94,inp_ip_mp!$B$2:$C$156,2,FALSE)</f>
        <v>2</v>
      </c>
    </row>
    <row r="95" spans="1:13" x14ac:dyDescent="0.35">
      <c r="A95" s="1">
        <v>94</v>
      </c>
      <c r="B95" s="1" t="s">
        <v>314</v>
      </c>
      <c r="C95" s="1">
        <v>94</v>
      </c>
      <c r="D95" s="1" t="s">
        <v>463</v>
      </c>
      <c r="E95" s="1">
        <f>VLOOKUP(C95,Tabla1[[id]:[EDAD]],4,FALSE)</f>
        <v>38</v>
      </c>
      <c r="F95" s="1">
        <f>IF(Tabla1[[#This Row],[SEXO]]="Masculino",0,1)</f>
        <v>0</v>
      </c>
      <c r="G95" s="1">
        <f>VLOOKUP(C95,Tabla1[[id]:[DISTRITO ]],6,FALSE)</f>
        <v>29</v>
      </c>
      <c r="H95" s="1">
        <f>VLOOKUP(Tabla1[[#This Row],[PACTO POR EL QUE FUE ELECTO]],ref!$A$2:$B$8,2,FALSE)</f>
        <v>6</v>
      </c>
      <c r="I95" s="1">
        <f>IF(Tabla1[[#This Row],[CAMBIO DE PACTO DURANTE CONVENCIÓN]]="",0,1)</f>
        <v>0</v>
      </c>
      <c r="J95" s="1">
        <f>IF(Tabla1[[#This Row],[PUEBLO ORIGINARIO]]="",0,1)</f>
        <v>1</v>
      </c>
      <c r="K95" s="1">
        <f>VLOOKUP(Tabla1[[#This Row],[LISTA EN LA CONVENCIÓN]],ref!A$11:B$21,2,FALSE)</f>
        <v>10</v>
      </c>
      <c r="L95" s="1">
        <v>17</v>
      </c>
      <c r="M95" s="1">
        <f>VLOOKUP(C95,inp_ip_mp!$B$2:$C$156,2,FALSE)</f>
        <v>0</v>
      </c>
    </row>
    <row r="96" spans="1:13" x14ac:dyDescent="0.35">
      <c r="A96" s="1">
        <v>95</v>
      </c>
      <c r="B96" s="1" t="s">
        <v>315</v>
      </c>
      <c r="C96" s="1">
        <v>95</v>
      </c>
      <c r="D96" s="1" t="s">
        <v>445</v>
      </c>
      <c r="E96" s="1">
        <f>VLOOKUP(C96,Tabla1[[id]:[EDAD]],4,FALSE)</f>
        <v>69</v>
      </c>
      <c r="F96" s="1">
        <f>IF(Tabla1[[#This Row],[SEXO]]="Masculino",0,1)</f>
        <v>0</v>
      </c>
      <c r="G96" s="1">
        <f>VLOOKUP(C96,Tabla1[[id]:[DISTRITO ]],6,FALSE)</f>
        <v>23</v>
      </c>
      <c r="H96" s="1">
        <f>VLOOKUP(Tabla1[[#This Row],[PACTO POR EL QUE FUE ELECTO]],ref!$A$2:$B$8,2,FALSE)</f>
        <v>7</v>
      </c>
      <c r="I96" s="1">
        <f>IF(Tabla1[[#This Row],[CAMBIO DE PACTO DURANTE CONVENCIÓN]]="",0,1)</f>
        <v>0</v>
      </c>
      <c r="J96" s="1">
        <f>IF(Tabla1[[#This Row],[PUEBLO ORIGINARIO]]="",0,1)</f>
        <v>0</v>
      </c>
      <c r="K96" s="1">
        <f>VLOOKUP(Tabla1[[#This Row],[LISTA EN LA CONVENCIÓN]],ref!A$11:B$21,2,FALSE)</f>
        <v>11</v>
      </c>
      <c r="L96" s="1">
        <v>7</v>
      </c>
      <c r="M96" s="1">
        <f>VLOOKUP(C96,inp_ip_mp!$B$2:$C$156,2,FALSE)</f>
        <v>2</v>
      </c>
    </row>
    <row r="97" spans="1:13" x14ac:dyDescent="0.35">
      <c r="A97" s="1">
        <v>96</v>
      </c>
      <c r="B97" s="1" t="s">
        <v>316</v>
      </c>
      <c r="C97" s="1">
        <v>96</v>
      </c>
      <c r="D97" s="1" t="s">
        <v>379</v>
      </c>
      <c r="E97" s="1">
        <f>VLOOKUP(C97,Tabla1[[id]:[EDAD]],4,FALSE)</f>
        <v>39</v>
      </c>
      <c r="F97" s="1">
        <f>IF(Tabla1[[#This Row],[SEXO]]="Masculino",0,1)</f>
        <v>0</v>
      </c>
      <c r="G97" s="1">
        <f>VLOOKUP(C97,Tabla1[[id]:[DISTRITO ]],6,FALSE)</f>
        <v>9</v>
      </c>
      <c r="H97" s="1">
        <f>VLOOKUP(Tabla1[[#This Row],[PACTO POR EL QUE FUE ELECTO]],ref!$A$2:$B$8,2,FALSE)</f>
        <v>7</v>
      </c>
      <c r="I97" s="1">
        <f>IF(Tabla1[[#This Row],[CAMBIO DE PACTO DURANTE CONVENCIÓN]]="",0,1)</f>
        <v>0</v>
      </c>
      <c r="J97" s="1">
        <f>IF(Tabla1[[#This Row],[PUEBLO ORIGINARIO]]="",0,1)</f>
        <v>0</v>
      </c>
      <c r="K97" s="1">
        <f>VLOOKUP(Tabla1[[#This Row],[LISTA EN LA CONVENCIÓN]],ref!A$11:B$21,2,FALSE)</f>
        <v>11</v>
      </c>
      <c r="L97" s="1">
        <v>10</v>
      </c>
      <c r="M97" s="1">
        <f>VLOOKUP(C97,inp_ip_mp!$B$2:$C$156,2,FALSE)</f>
        <v>2</v>
      </c>
    </row>
    <row r="98" spans="1:13" x14ac:dyDescent="0.35">
      <c r="A98" s="1">
        <v>97</v>
      </c>
      <c r="B98" s="1" t="s">
        <v>317</v>
      </c>
      <c r="C98" s="1">
        <v>97</v>
      </c>
      <c r="D98" s="1" t="s">
        <v>515</v>
      </c>
      <c r="E98" s="1">
        <f>VLOOKUP(C98,Tabla1[[id]:[EDAD]],4,FALSE)</f>
        <v>68</v>
      </c>
      <c r="F98" s="1">
        <f>IF(Tabla1[[#This Row],[SEXO]]="Masculino",0,1)</f>
        <v>0</v>
      </c>
      <c r="G98" s="1">
        <f>VLOOKUP(C98,Tabla1[[id]:[DISTRITO ]],6,FALSE)</f>
        <v>21</v>
      </c>
      <c r="H98" s="1">
        <f>VLOOKUP(Tabla1[[#This Row],[PACTO POR EL QUE FUE ELECTO]],ref!$A$2:$B$8,2,FALSE)</f>
        <v>1</v>
      </c>
      <c r="I98" s="1">
        <f>IF(Tabla1[[#This Row],[CAMBIO DE PACTO DURANTE CONVENCIÓN]]="",0,1)</f>
        <v>0</v>
      </c>
      <c r="J98" s="1">
        <f>IF(Tabla1[[#This Row],[PUEBLO ORIGINARIO]]="",0,1)</f>
        <v>0</v>
      </c>
      <c r="K98" s="1">
        <f>VLOOKUP(Tabla1[[#This Row],[LISTA EN LA CONVENCIÓN]],ref!A$11:B$21,2,FALSE)</f>
        <v>2</v>
      </c>
      <c r="L98" s="1">
        <v>0</v>
      </c>
      <c r="M98" s="1">
        <f>VLOOKUP(C98,inp_ip_mp!$B$2:$C$156,2,FALSE)</f>
        <v>1</v>
      </c>
    </row>
    <row r="99" spans="1:13" x14ac:dyDescent="0.35">
      <c r="A99" s="1">
        <v>98</v>
      </c>
      <c r="B99" s="1" t="s">
        <v>318</v>
      </c>
      <c r="C99" s="1">
        <v>98</v>
      </c>
      <c r="D99" s="1" t="s">
        <v>426</v>
      </c>
      <c r="E99" s="1">
        <f>VLOOKUP(C99,Tabla1[[id]:[EDAD]],4,FALSE)</f>
        <v>67</v>
      </c>
      <c r="F99" s="1">
        <f>IF(Tabla1[[#This Row],[SEXO]]="Masculino",0,1)</f>
        <v>1</v>
      </c>
      <c r="G99" s="1">
        <f>VLOOKUP(C99,Tabla1[[id]:[DISTRITO ]],6,FALSE)</f>
        <v>13</v>
      </c>
      <c r="H99" s="1">
        <f>VLOOKUP(Tabla1[[#This Row],[PACTO POR EL QUE FUE ELECTO]],ref!$A$2:$B$8,2,FALSE)</f>
        <v>1</v>
      </c>
      <c r="I99" s="1">
        <f>IF(Tabla1[[#This Row],[CAMBIO DE PACTO DURANTE CONVENCIÓN]]="",0,1)</f>
        <v>0</v>
      </c>
      <c r="J99" s="1">
        <f>IF(Tabla1[[#This Row],[PUEBLO ORIGINARIO]]="",0,1)</f>
        <v>0</v>
      </c>
      <c r="K99" s="1">
        <f>VLOOKUP(Tabla1[[#This Row],[LISTA EN LA CONVENCIÓN]],ref!A$11:B$21,2,FALSE)</f>
        <v>3</v>
      </c>
      <c r="L99" s="1">
        <v>9</v>
      </c>
      <c r="M99" s="1">
        <f>VLOOKUP(C99,inp_ip_mp!$B$2:$C$156,2,FALSE)</f>
        <v>2</v>
      </c>
    </row>
    <row r="100" spans="1:13" x14ac:dyDescent="0.35">
      <c r="A100" s="1">
        <v>99</v>
      </c>
      <c r="B100" s="1" t="s">
        <v>319</v>
      </c>
      <c r="C100" s="1">
        <v>99</v>
      </c>
      <c r="D100" s="1" t="s">
        <v>428</v>
      </c>
      <c r="E100" s="1">
        <f>VLOOKUP(C100,Tabla1[[id]:[EDAD]],4,FALSE)</f>
        <v>34</v>
      </c>
      <c r="F100" s="1">
        <f>IF(Tabla1[[#This Row],[SEXO]]="Masculino",0,1)</f>
        <v>0</v>
      </c>
      <c r="G100" s="1">
        <f>VLOOKUP(C100,Tabla1[[id]:[DISTRITO ]],6,FALSE)</f>
        <v>12</v>
      </c>
      <c r="H100" s="1">
        <f>VLOOKUP(Tabla1[[#This Row],[PACTO POR EL QUE FUE ELECTO]],ref!$A$2:$B$8,2,FALSE)</f>
        <v>7</v>
      </c>
      <c r="I100" s="1">
        <f>IF(Tabla1[[#This Row],[CAMBIO DE PACTO DURANTE CONVENCIÓN]]="",0,1)</f>
        <v>0</v>
      </c>
      <c r="J100" s="1">
        <f>IF(Tabla1[[#This Row],[PUEBLO ORIGINARIO]]="",0,1)</f>
        <v>0</v>
      </c>
      <c r="K100" s="1">
        <f>VLOOKUP(Tabla1[[#This Row],[LISTA EN LA CONVENCIÓN]],ref!A$11:B$21,2,FALSE)</f>
        <v>11</v>
      </c>
      <c r="L100" s="1">
        <v>0</v>
      </c>
      <c r="M100" s="1">
        <f>VLOOKUP(C100,inp_ip_mp!$B$2:$C$156,2,FALSE)</f>
        <v>1</v>
      </c>
    </row>
    <row r="101" spans="1:13" x14ac:dyDescent="0.35">
      <c r="A101" s="1">
        <v>100</v>
      </c>
      <c r="B101" s="1" t="s">
        <v>320</v>
      </c>
      <c r="C101" s="1">
        <v>100</v>
      </c>
      <c r="D101" s="1" t="s">
        <v>383</v>
      </c>
      <c r="E101" s="1">
        <f>VLOOKUP(C101,Tabla1[[id]:[EDAD]],4,FALSE)</f>
        <v>38</v>
      </c>
      <c r="F101" s="1">
        <f>IF(Tabla1[[#This Row],[SEXO]]="Masculino",0,1)</f>
        <v>0</v>
      </c>
      <c r="G101" s="1">
        <f>VLOOKUP(C101,Tabla1[[id]:[DISTRITO ]],6,FALSE)</f>
        <v>10</v>
      </c>
      <c r="H101" s="1">
        <f>VLOOKUP(Tabla1[[#This Row],[PACTO POR EL QUE FUE ELECTO]],ref!$A$2:$B$8,2,FALSE)</f>
        <v>3</v>
      </c>
      <c r="I101" s="1">
        <f>IF(Tabla1[[#This Row],[CAMBIO DE PACTO DURANTE CONVENCIÓN]]="",0,1)</f>
        <v>1</v>
      </c>
      <c r="J101" s="1">
        <f>IF(Tabla1[[#This Row],[PUEBLO ORIGINARIO]]="",0,1)</f>
        <v>0</v>
      </c>
      <c r="K101" s="1">
        <f>VLOOKUP(Tabla1[[#This Row],[LISTA EN LA CONVENCIÓN]],ref!A$11:B$21,2,FALSE)</f>
        <v>5</v>
      </c>
      <c r="L101" s="1">
        <v>0</v>
      </c>
      <c r="M101" s="1">
        <f>VLOOKUP(C101,inp_ip_mp!$B$2:$C$156,2,FALSE)</f>
        <v>0</v>
      </c>
    </row>
    <row r="102" spans="1:13" x14ac:dyDescent="0.35">
      <c r="A102" s="1">
        <v>101</v>
      </c>
      <c r="B102" s="1" t="s">
        <v>321</v>
      </c>
      <c r="C102" s="1">
        <v>101</v>
      </c>
      <c r="D102" s="1" t="s">
        <v>415</v>
      </c>
      <c r="E102" s="1">
        <f>VLOOKUP(C102,Tabla1[[id]:[EDAD]],4,FALSE)</f>
        <v>39</v>
      </c>
      <c r="F102" s="1">
        <f>IF(Tabla1[[#This Row],[SEXO]]="Masculino",0,1)</f>
        <v>1</v>
      </c>
      <c r="G102" s="1">
        <f>VLOOKUP(C102,Tabla1[[id]:[DISTRITO ]],6,FALSE)</f>
        <v>23</v>
      </c>
      <c r="H102" s="1">
        <f>VLOOKUP(Tabla1[[#This Row],[PACTO POR EL QUE FUE ELECTO]],ref!$A$2:$B$8,2,FALSE)</f>
        <v>2</v>
      </c>
      <c r="I102" s="1">
        <f>IF(Tabla1[[#This Row],[CAMBIO DE PACTO DURANTE CONVENCIÓN]]="",0,1)</f>
        <v>1</v>
      </c>
      <c r="J102" s="1">
        <f>IF(Tabla1[[#This Row],[PUEBLO ORIGINARIO]]="",0,1)</f>
        <v>0</v>
      </c>
      <c r="K102" s="1">
        <f>VLOOKUP(Tabla1[[#This Row],[LISTA EN LA CONVENCIÓN]],ref!A$11:B$21,2,FALSE)</f>
        <v>6</v>
      </c>
      <c r="L102" s="1">
        <v>0</v>
      </c>
      <c r="M102" s="1">
        <f>VLOOKUP(C102,inp_ip_mp!$B$2:$C$156,2,FALSE)</f>
        <v>1</v>
      </c>
    </row>
    <row r="103" spans="1:13" x14ac:dyDescent="0.35">
      <c r="A103" s="1">
        <v>102</v>
      </c>
      <c r="B103" s="1" t="s">
        <v>322</v>
      </c>
      <c r="C103" s="1">
        <v>102</v>
      </c>
      <c r="D103" s="1" t="s">
        <v>492</v>
      </c>
      <c r="E103" s="1">
        <f>VLOOKUP(C103,Tabla1[[id]:[EDAD]],4,FALSE)</f>
        <v>55</v>
      </c>
      <c r="F103" s="1">
        <f>IF(Tabla1[[#This Row],[SEXO]]="Masculino",0,1)</f>
        <v>1</v>
      </c>
      <c r="G103" s="1">
        <f>VLOOKUP(C103,Tabla1[[id]:[DISTRITO ]],6,FALSE)</f>
        <v>11</v>
      </c>
      <c r="H103" s="1">
        <f>VLOOKUP(Tabla1[[#This Row],[PACTO POR EL QUE FUE ELECTO]],ref!$A$2:$B$8,2,FALSE)</f>
        <v>7</v>
      </c>
      <c r="I103" s="1">
        <f>IF(Tabla1[[#This Row],[CAMBIO DE PACTO DURANTE CONVENCIÓN]]="",0,1)</f>
        <v>0</v>
      </c>
      <c r="J103" s="1">
        <f>IF(Tabla1[[#This Row],[PUEBLO ORIGINARIO]]="",0,1)</f>
        <v>0</v>
      </c>
      <c r="K103" s="1">
        <f>VLOOKUP(Tabla1[[#This Row],[LISTA EN LA CONVENCIÓN]],ref!A$11:B$21,2,FALSE)</f>
        <v>11</v>
      </c>
      <c r="L103" s="1">
        <v>0</v>
      </c>
      <c r="M103" s="1">
        <f>VLOOKUP(C103,inp_ip_mp!$B$2:$C$156,2,FALSE)</f>
        <v>1</v>
      </c>
    </row>
    <row r="104" spans="1:13" x14ac:dyDescent="0.35">
      <c r="A104" s="1">
        <v>103</v>
      </c>
      <c r="B104" s="1" t="s">
        <v>323</v>
      </c>
      <c r="C104" s="1">
        <v>103</v>
      </c>
      <c r="D104" s="1" t="s">
        <v>521</v>
      </c>
      <c r="E104" s="1">
        <f>VLOOKUP(C104,Tabla1[[id]:[EDAD]],4,FALSE)</f>
        <v>32</v>
      </c>
      <c r="F104" s="1">
        <f>IF(Tabla1[[#This Row],[SEXO]]="Masculino",0,1)</f>
        <v>0</v>
      </c>
      <c r="G104" s="1">
        <f>VLOOKUP(C104,Tabla1[[id]:[DISTRITO ]],6,FALSE)</f>
        <v>8</v>
      </c>
      <c r="H104" s="1">
        <f>VLOOKUP(Tabla1[[#This Row],[PACTO POR EL QUE FUE ELECTO]],ref!$A$2:$B$8,2,FALSE)</f>
        <v>3</v>
      </c>
      <c r="I104" s="1">
        <f>IF(Tabla1[[#This Row],[CAMBIO DE PACTO DURANTE CONVENCIÓN]]="",0,1)</f>
        <v>1</v>
      </c>
      <c r="J104" s="1">
        <f>IF(Tabla1[[#This Row],[PUEBLO ORIGINARIO]]="",0,1)</f>
        <v>0</v>
      </c>
      <c r="K104" s="1">
        <f>VLOOKUP(Tabla1[[#This Row],[LISTA EN LA CONVENCIÓN]],ref!A$11:B$21,2,FALSE)</f>
        <v>9</v>
      </c>
      <c r="L104" s="1">
        <v>0</v>
      </c>
      <c r="M104" s="1">
        <f>VLOOKUP(C104,inp_ip_mp!$B$2:$C$156,2,FALSE)</f>
        <v>0</v>
      </c>
    </row>
    <row r="105" spans="1:13" x14ac:dyDescent="0.35">
      <c r="A105" s="1">
        <v>104</v>
      </c>
      <c r="B105" s="1" t="s">
        <v>324</v>
      </c>
      <c r="C105" s="1">
        <v>104</v>
      </c>
      <c r="D105" s="1" t="s">
        <v>514</v>
      </c>
      <c r="E105" s="1">
        <f>VLOOKUP(C105,Tabla1[[id]:[EDAD]],4,FALSE)</f>
        <v>49</v>
      </c>
      <c r="F105" s="1">
        <f>IF(Tabla1[[#This Row],[SEXO]]="Masculino",0,1)</f>
        <v>0</v>
      </c>
      <c r="G105" s="1">
        <f>VLOOKUP(C105,Tabla1[[id]:[DISTRITO ]],6,FALSE)</f>
        <v>13</v>
      </c>
      <c r="H105" s="1">
        <f>VLOOKUP(Tabla1[[#This Row],[PACTO POR EL QUE FUE ELECTO]],ref!$A$2:$B$8,2,FALSE)</f>
        <v>2</v>
      </c>
      <c r="I105" s="1">
        <f>IF(Tabla1[[#This Row],[CAMBIO DE PACTO DURANTE CONVENCIÓN]]="",0,1)</f>
        <v>0</v>
      </c>
      <c r="J105" s="1">
        <f>IF(Tabla1[[#This Row],[PUEBLO ORIGINARIO]]="",0,1)</f>
        <v>0</v>
      </c>
      <c r="K105" s="1">
        <f>VLOOKUP(Tabla1[[#This Row],[LISTA EN LA CONVENCIÓN]],ref!A$11:B$21,2,FALSE)</f>
        <v>1</v>
      </c>
      <c r="L105" s="1">
        <v>1</v>
      </c>
      <c r="M105" s="1">
        <f>VLOOKUP(C105,inp_ip_mp!$B$2:$C$156,2,FALSE)</f>
        <v>2</v>
      </c>
    </row>
    <row r="106" spans="1:13" x14ac:dyDescent="0.35">
      <c r="A106" s="1">
        <v>105</v>
      </c>
      <c r="B106" s="1" t="s">
        <v>325</v>
      </c>
      <c r="C106" s="1">
        <v>105</v>
      </c>
      <c r="D106" s="1" t="s">
        <v>394</v>
      </c>
      <c r="E106" s="1">
        <f>VLOOKUP(C106,Tabla1[[id]:[EDAD]],4,FALSE)</f>
        <v>52</v>
      </c>
      <c r="F106" s="1">
        <f>IF(Tabla1[[#This Row],[SEXO]]="Masculino",0,1)</f>
        <v>1</v>
      </c>
      <c r="G106" s="1">
        <f>VLOOKUP(C106,Tabla1[[id]:[DISTRITO ]],6,FALSE)</f>
        <v>29</v>
      </c>
      <c r="H106" s="1">
        <f>VLOOKUP(Tabla1[[#This Row],[PACTO POR EL QUE FUE ELECTO]],ref!$A$2:$B$8,2,FALSE)</f>
        <v>6</v>
      </c>
      <c r="I106" s="1">
        <f>IF(Tabla1[[#This Row],[CAMBIO DE PACTO DURANTE CONVENCIÓN]]="",0,1)</f>
        <v>0</v>
      </c>
      <c r="J106" s="1">
        <f>IF(Tabla1[[#This Row],[PUEBLO ORIGINARIO]]="",0,1)</f>
        <v>1</v>
      </c>
      <c r="K106" s="1">
        <f>VLOOKUP(Tabla1[[#This Row],[LISTA EN LA CONVENCIÓN]],ref!A$11:B$21,2,FALSE)</f>
        <v>10</v>
      </c>
      <c r="L106" s="1">
        <v>17</v>
      </c>
      <c r="M106" s="1">
        <f>VLOOKUP(C106,inp_ip_mp!$B$2:$C$156,2,FALSE)</f>
        <v>2</v>
      </c>
    </row>
    <row r="107" spans="1:13" x14ac:dyDescent="0.35">
      <c r="A107" s="1">
        <v>106</v>
      </c>
      <c r="B107" s="1" t="s">
        <v>326</v>
      </c>
      <c r="C107" s="1">
        <v>106</v>
      </c>
      <c r="D107" s="1" t="s">
        <v>403</v>
      </c>
      <c r="E107" s="1">
        <f>VLOOKUP(C107,Tabla1[[id]:[EDAD]],4,FALSE)</f>
        <v>61</v>
      </c>
      <c r="F107" s="1">
        <f>IF(Tabla1[[#This Row],[SEXO]]="Masculino",0,1)</f>
        <v>1</v>
      </c>
      <c r="G107" s="1">
        <f>VLOOKUP(C107,Tabla1[[id]:[DISTRITO ]],6,FALSE)</f>
        <v>23</v>
      </c>
      <c r="H107" s="1">
        <f>VLOOKUP(Tabla1[[#This Row],[PACTO POR EL QUE FUE ELECTO]],ref!$A$2:$B$8,2,FALSE)</f>
        <v>7</v>
      </c>
      <c r="I107" s="1">
        <f>IF(Tabla1[[#This Row],[CAMBIO DE PACTO DURANTE CONVENCIÓN]]="",0,1)</f>
        <v>0</v>
      </c>
      <c r="J107" s="1">
        <f>IF(Tabla1[[#This Row],[PUEBLO ORIGINARIO]]="",0,1)</f>
        <v>0</v>
      </c>
      <c r="K107" s="1">
        <f>VLOOKUP(Tabla1[[#This Row],[LISTA EN LA CONVENCIÓN]],ref!A$11:B$21,2,FALSE)</f>
        <v>11</v>
      </c>
      <c r="L107" s="1">
        <v>0</v>
      </c>
      <c r="M107" s="1">
        <f>VLOOKUP(C107,inp_ip_mp!$B$2:$C$156,2,FALSE)</f>
        <v>1</v>
      </c>
    </row>
    <row r="108" spans="1:13" x14ac:dyDescent="0.35">
      <c r="A108" s="1">
        <v>107</v>
      </c>
      <c r="B108" s="1" t="s">
        <v>327</v>
      </c>
      <c r="C108" s="1">
        <v>107</v>
      </c>
      <c r="D108" s="1" t="s">
        <v>400</v>
      </c>
      <c r="E108" s="1">
        <f>VLOOKUP(C108,Tabla1[[id]:[EDAD]],4,FALSE)</f>
        <v>66</v>
      </c>
      <c r="F108" s="1">
        <f>IF(Tabla1[[#This Row],[SEXO]]="Masculino",0,1)</f>
        <v>1</v>
      </c>
      <c r="G108" s="1">
        <f>VLOOKUP(C108,Tabla1[[id]:[DISTRITO ]],6,FALSE)</f>
        <v>25</v>
      </c>
      <c r="H108" s="1">
        <f>VLOOKUP(Tabla1[[#This Row],[PACTO POR EL QUE FUE ELECTO]],ref!$A$2:$B$8,2,FALSE)</f>
        <v>7</v>
      </c>
      <c r="I108" s="1">
        <f>IF(Tabla1[[#This Row],[CAMBIO DE PACTO DURANTE CONVENCIÓN]]="",0,1)</f>
        <v>0</v>
      </c>
      <c r="J108" s="1">
        <f>IF(Tabla1[[#This Row],[PUEBLO ORIGINARIO]]="",0,1)</f>
        <v>0</v>
      </c>
      <c r="K108" s="1">
        <f>VLOOKUP(Tabla1[[#This Row],[LISTA EN LA CONVENCIÓN]],ref!A$11:B$21,2,FALSE)</f>
        <v>11</v>
      </c>
      <c r="L108" s="1">
        <v>0</v>
      </c>
      <c r="M108" s="1">
        <f>VLOOKUP(C108,inp_ip_mp!$B$2:$C$156,2,FALSE)</f>
        <v>1</v>
      </c>
    </row>
    <row r="109" spans="1:13" x14ac:dyDescent="0.35">
      <c r="A109" s="1">
        <v>108</v>
      </c>
      <c r="B109" s="1" t="s">
        <v>328</v>
      </c>
      <c r="C109" s="1">
        <v>108</v>
      </c>
      <c r="D109" s="1" t="s">
        <v>421</v>
      </c>
      <c r="E109" s="1">
        <f>VLOOKUP(C109,Tabla1[[id]:[EDAD]],4,FALSE)</f>
        <v>40</v>
      </c>
      <c r="F109" s="1">
        <f>IF(Tabla1[[#This Row],[SEXO]]="Masculino",0,1)</f>
        <v>1</v>
      </c>
      <c r="G109" s="1">
        <f>VLOOKUP(C109,Tabla1[[id]:[DISTRITO ]],6,FALSE)</f>
        <v>17</v>
      </c>
      <c r="H109" s="1">
        <f>VLOOKUP(Tabla1[[#This Row],[PACTO POR EL QUE FUE ELECTO]],ref!$A$2:$B$8,2,FALSE)</f>
        <v>5</v>
      </c>
      <c r="I109" s="1">
        <f>IF(Tabla1[[#This Row],[CAMBIO DE PACTO DURANTE CONVENCIÓN]]="",0,1)</f>
        <v>1</v>
      </c>
      <c r="J109" s="1">
        <f>IF(Tabla1[[#This Row],[PUEBLO ORIGINARIO]]="",0,1)</f>
        <v>0</v>
      </c>
      <c r="K109" s="1">
        <f>VLOOKUP(Tabla1[[#This Row],[LISTA EN LA CONVENCIÓN]],ref!A$11:B$21,2,FALSE)</f>
        <v>6</v>
      </c>
      <c r="L109" s="1">
        <v>0</v>
      </c>
      <c r="M109" s="1">
        <f>VLOOKUP(C109,inp_ip_mp!$B$2:$C$156,2,FALSE)</f>
        <v>0</v>
      </c>
    </row>
    <row r="110" spans="1:13" x14ac:dyDescent="0.35">
      <c r="A110" s="1">
        <v>109</v>
      </c>
      <c r="B110" s="1" t="s">
        <v>329</v>
      </c>
      <c r="C110" s="1">
        <v>109</v>
      </c>
      <c r="D110" s="1" t="s">
        <v>427</v>
      </c>
      <c r="E110" s="1">
        <f>VLOOKUP(C110,Tabla1[[id]:[EDAD]],4,FALSE)</f>
        <v>39</v>
      </c>
      <c r="F110" s="1">
        <f>IF(Tabla1[[#This Row],[SEXO]]="Masculino",0,1)</f>
        <v>1</v>
      </c>
      <c r="G110" s="1">
        <f>VLOOKUP(C110,Tabla1[[id]:[DISTRITO ]],6,FALSE)</f>
        <v>7</v>
      </c>
      <c r="H110" s="1">
        <f>VLOOKUP(Tabla1[[#This Row],[PACTO POR EL QUE FUE ELECTO]],ref!$A$2:$B$8,2,FALSE)</f>
        <v>2</v>
      </c>
      <c r="I110" s="1">
        <f>IF(Tabla1[[#This Row],[CAMBIO DE PACTO DURANTE CONVENCIÓN]]="",0,1)</f>
        <v>0</v>
      </c>
      <c r="J110" s="1">
        <f>IF(Tabla1[[#This Row],[PUEBLO ORIGINARIO]]="",0,1)</f>
        <v>0</v>
      </c>
      <c r="K110" s="1">
        <f>VLOOKUP(Tabla1[[#This Row],[LISTA EN LA CONVENCIÓN]],ref!A$11:B$21,2,FALSE)</f>
        <v>4</v>
      </c>
      <c r="L110" s="1">
        <v>8</v>
      </c>
      <c r="M110" s="1">
        <f>VLOOKUP(C110,inp_ip_mp!$B$2:$C$156,2,FALSE)</f>
        <v>2</v>
      </c>
    </row>
    <row r="111" spans="1:13" x14ac:dyDescent="0.35">
      <c r="A111" s="1">
        <v>110</v>
      </c>
      <c r="B111" s="1" t="s">
        <v>330</v>
      </c>
      <c r="C111" s="1">
        <v>110</v>
      </c>
      <c r="D111" s="1" t="s">
        <v>418</v>
      </c>
      <c r="E111" s="1">
        <f>VLOOKUP(C111,Tabla1[[id]:[EDAD]],4,FALSE)</f>
        <v>64</v>
      </c>
      <c r="F111" s="1">
        <f>IF(Tabla1[[#This Row],[SEXO]]="Masculino",0,1)</f>
        <v>1</v>
      </c>
      <c r="G111" s="1">
        <f>VLOOKUP(C111,Tabla1[[id]:[DISTRITO ]],6,FALSE)</f>
        <v>8</v>
      </c>
      <c r="H111" s="1">
        <f>VLOOKUP(Tabla1[[#This Row],[PACTO POR EL QUE FUE ELECTO]],ref!$A$2:$B$8,2,FALSE)</f>
        <v>3</v>
      </c>
      <c r="I111" s="1">
        <f>IF(Tabla1[[#This Row],[CAMBIO DE PACTO DURANTE CONVENCIÓN]]="",0,1)</f>
        <v>1</v>
      </c>
      <c r="J111" s="1">
        <f>IF(Tabla1[[#This Row],[PUEBLO ORIGINARIO]]="",0,1)</f>
        <v>0</v>
      </c>
      <c r="K111" s="1">
        <f>VLOOKUP(Tabla1[[#This Row],[LISTA EN LA CONVENCIÓN]],ref!A$11:B$21,2,FALSE)</f>
        <v>9</v>
      </c>
      <c r="L111" s="1">
        <v>0</v>
      </c>
      <c r="M111" s="1">
        <f>VLOOKUP(C111,inp_ip_mp!$B$2:$C$156,2,FALSE)</f>
        <v>1</v>
      </c>
    </row>
    <row r="112" spans="1:13" x14ac:dyDescent="0.35">
      <c r="A112" s="1">
        <v>111</v>
      </c>
      <c r="B112" s="1" t="s">
        <v>331</v>
      </c>
      <c r="C112" s="1">
        <v>111</v>
      </c>
      <c r="D112" s="1" t="s">
        <v>419</v>
      </c>
      <c r="E112" s="1">
        <f>VLOOKUP(C112,Tabla1[[id]:[EDAD]],4,FALSE)</f>
        <v>55</v>
      </c>
      <c r="F112" s="1">
        <f>IF(Tabla1[[#This Row],[SEXO]]="Masculino",0,1)</f>
        <v>1</v>
      </c>
      <c r="G112" s="1">
        <f>VLOOKUP(C112,Tabla1[[id]:[DISTRITO ]],6,FALSE)</f>
        <v>24</v>
      </c>
      <c r="H112" s="1">
        <f>VLOOKUP(Tabla1[[#This Row],[PACTO POR EL QUE FUE ELECTO]],ref!$A$2:$B$8,2,FALSE)</f>
        <v>1</v>
      </c>
      <c r="I112" s="1">
        <f>IF(Tabla1[[#This Row],[CAMBIO DE PACTO DURANTE CONVENCIÓN]]="",0,1)</f>
        <v>0</v>
      </c>
      <c r="J112" s="1">
        <f>IF(Tabla1[[#This Row],[PUEBLO ORIGINARIO]]="",0,1)</f>
        <v>0</v>
      </c>
      <c r="K112" s="1">
        <f>VLOOKUP(Tabla1[[#This Row],[LISTA EN LA CONVENCIÓN]],ref!A$11:B$21,2,FALSE)</f>
        <v>3</v>
      </c>
      <c r="L112" s="1">
        <v>9</v>
      </c>
      <c r="M112" s="1">
        <f>VLOOKUP(C112,inp_ip_mp!$B$2:$C$156,2,FALSE)</f>
        <v>2</v>
      </c>
    </row>
    <row r="113" spans="1:13" x14ac:dyDescent="0.35">
      <c r="A113" s="1">
        <v>112</v>
      </c>
      <c r="B113" s="1" t="s">
        <v>332</v>
      </c>
      <c r="C113" s="1">
        <v>112</v>
      </c>
      <c r="D113" s="1" t="s">
        <v>502</v>
      </c>
      <c r="E113" s="1">
        <f>VLOOKUP(C113,Tabla1[[id]:[EDAD]],4,FALSE)</f>
        <v>65</v>
      </c>
      <c r="F113" s="1">
        <f>IF(Tabla1[[#This Row],[SEXO]]="Masculino",0,1)</f>
        <v>1</v>
      </c>
      <c r="G113" s="1">
        <f>VLOOKUP(C113,Tabla1[[id]:[DISTRITO ]],6,FALSE)</f>
        <v>5</v>
      </c>
      <c r="H113" s="1">
        <f>VLOOKUP(Tabla1[[#This Row],[PACTO POR EL QUE FUE ELECTO]],ref!$A$2:$B$8,2,FALSE)</f>
        <v>5</v>
      </c>
      <c r="I113" s="1">
        <f>IF(Tabla1[[#This Row],[CAMBIO DE PACTO DURANTE CONVENCIÓN]]="",0,1)</f>
        <v>0</v>
      </c>
      <c r="J113" s="1">
        <f>IF(Tabla1[[#This Row],[PUEBLO ORIGINARIO]]="",0,1)</f>
        <v>0</v>
      </c>
      <c r="K113" s="1">
        <f>VLOOKUP(Tabla1[[#This Row],[LISTA EN LA CONVENCIÓN]],ref!A$11:B$21,2,FALSE)</f>
        <v>3</v>
      </c>
      <c r="L113" s="1">
        <v>0</v>
      </c>
      <c r="M113" s="1">
        <f>VLOOKUP(C113,inp_ip_mp!$B$2:$C$156,2,FALSE)</f>
        <v>0</v>
      </c>
    </row>
    <row r="114" spans="1:13" x14ac:dyDescent="0.35">
      <c r="A114" s="1">
        <v>113</v>
      </c>
      <c r="B114" s="1" t="s">
        <v>333</v>
      </c>
      <c r="C114" s="1">
        <v>113</v>
      </c>
      <c r="D114" s="1" t="s">
        <v>408</v>
      </c>
      <c r="E114" s="1">
        <f>VLOOKUP(C114,Tabla1[[id]:[EDAD]],4,FALSE)</f>
        <v>41</v>
      </c>
      <c r="F114" s="1">
        <f>IF(Tabla1[[#This Row],[SEXO]]="Masculino",0,1)</f>
        <v>1</v>
      </c>
      <c r="G114" s="1">
        <f>VLOOKUP(C114,Tabla1[[id]:[DISTRITO ]],6,FALSE)</f>
        <v>6</v>
      </c>
      <c r="H114" s="1">
        <f>VLOOKUP(Tabla1[[#This Row],[PACTO POR EL QUE FUE ELECTO]],ref!$A$2:$B$8,2,FALSE)</f>
        <v>2</v>
      </c>
      <c r="I114" s="1">
        <f>IF(Tabla1[[#This Row],[CAMBIO DE PACTO DURANTE CONVENCIÓN]]="",0,1)</f>
        <v>0</v>
      </c>
      <c r="J114" s="1">
        <f>IF(Tabla1[[#This Row],[PUEBLO ORIGINARIO]]="",0,1)</f>
        <v>0</v>
      </c>
      <c r="K114" s="1">
        <f>VLOOKUP(Tabla1[[#This Row],[LISTA EN LA CONVENCIÓN]],ref!A$11:B$21,2,FALSE)</f>
        <v>4</v>
      </c>
      <c r="L114" s="1">
        <v>0</v>
      </c>
      <c r="M114" s="1">
        <f>VLOOKUP(C114,inp_ip_mp!$B$2:$C$156,2,FALSE)</f>
        <v>1</v>
      </c>
    </row>
    <row r="115" spans="1:13" x14ac:dyDescent="0.35">
      <c r="A115" s="1">
        <v>114</v>
      </c>
      <c r="B115" s="1" t="s">
        <v>334</v>
      </c>
      <c r="C115" s="1">
        <v>114</v>
      </c>
      <c r="D115" s="1" t="s">
        <v>393</v>
      </c>
      <c r="E115" s="1">
        <f>VLOOKUP(C115,Tabla1[[id]:[EDAD]],4,FALSE)</f>
        <v>36</v>
      </c>
      <c r="F115" s="1">
        <f>IF(Tabla1[[#This Row],[SEXO]]="Masculino",0,1)</f>
        <v>0</v>
      </c>
      <c r="G115" s="1">
        <f>VLOOKUP(C115,Tabla1[[id]:[DISTRITO ]],6,FALSE)</f>
        <v>25</v>
      </c>
      <c r="H115" s="1">
        <f>VLOOKUP(Tabla1[[#This Row],[PACTO POR EL QUE FUE ELECTO]],ref!$A$2:$B$8,2,FALSE)</f>
        <v>1</v>
      </c>
      <c r="I115" s="1">
        <f>IF(Tabla1[[#This Row],[CAMBIO DE PACTO DURANTE CONVENCIÓN]]="",0,1)</f>
        <v>0</v>
      </c>
      <c r="J115" s="1">
        <f>IF(Tabla1[[#This Row],[PUEBLO ORIGINARIO]]="",0,1)</f>
        <v>0</v>
      </c>
      <c r="K115" s="1">
        <f>VLOOKUP(Tabla1[[#This Row],[LISTA EN LA CONVENCIÓN]],ref!A$11:B$21,2,FALSE)</f>
        <v>3</v>
      </c>
      <c r="L115" s="1">
        <v>9</v>
      </c>
      <c r="M115" s="1">
        <f>VLOOKUP(C115,inp_ip_mp!$B$2:$C$156,2,FALSE)</f>
        <v>2</v>
      </c>
    </row>
    <row r="116" spans="1:13" x14ac:dyDescent="0.35">
      <c r="A116" s="1">
        <v>115</v>
      </c>
      <c r="B116" s="1" t="s">
        <v>335</v>
      </c>
      <c r="C116" s="1">
        <v>115</v>
      </c>
      <c r="D116" s="1" t="s">
        <v>429</v>
      </c>
      <c r="E116" s="1">
        <f>VLOOKUP(C116,Tabla1[[id]:[EDAD]],4,FALSE)</f>
        <v>33</v>
      </c>
      <c r="F116" s="1">
        <f>IF(Tabla1[[#This Row],[SEXO]]="Masculino",0,1)</f>
        <v>0</v>
      </c>
      <c r="G116" s="1">
        <f>VLOOKUP(C116,Tabla1[[id]:[DISTRITO ]],6,FALSE)</f>
        <v>15</v>
      </c>
      <c r="H116" s="1">
        <f>VLOOKUP(Tabla1[[#This Row],[PACTO POR EL QUE FUE ELECTO]],ref!$A$2:$B$8,2,FALSE)</f>
        <v>1</v>
      </c>
      <c r="I116" s="1">
        <f>IF(Tabla1[[#This Row],[CAMBIO DE PACTO DURANTE CONVENCIÓN]]="",0,1)</f>
        <v>0</v>
      </c>
      <c r="J116" s="1">
        <f>IF(Tabla1[[#This Row],[PUEBLO ORIGINARIO]]="",0,1)</f>
        <v>0</v>
      </c>
      <c r="K116" s="1">
        <f>VLOOKUP(Tabla1[[#This Row],[LISTA EN LA CONVENCIÓN]],ref!A$11:B$21,2,FALSE)</f>
        <v>3</v>
      </c>
      <c r="L116" s="1">
        <v>9</v>
      </c>
      <c r="M116" s="1">
        <f>VLOOKUP(C116,inp_ip_mp!$B$2:$C$156,2,FALSE)</f>
        <v>2</v>
      </c>
    </row>
    <row r="117" spans="1:13" x14ac:dyDescent="0.35">
      <c r="A117" s="1">
        <v>116</v>
      </c>
      <c r="B117" s="1" t="s">
        <v>336</v>
      </c>
      <c r="C117" s="1">
        <v>116</v>
      </c>
      <c r="D117" s="1" t="s">
        <v>490</v>
      </c>
      <c r="E117" s="1">
        <f>VLOOKUP(C117,Tabla1[[id]:[EDAD]],4,FALSE)</f>
        <v>50</v>
      </c>
      <c r="F117" s="1">
        <f>IF(Tabla1[[#This Row],[SEXO]]="Masculino",0,1)</f>
        <v>0</v>
      </c>
      <c r="G117" s="1">
        <f>VLOOKUP(C117,Tabla1[[id]:[DISTRITO ]],6,FALSE)</f>
        <v>28</v>
      </c>
      <c r="H117" s="1">
        <f>VLOOKUP(Tabla1[[#This Row],[PACTO POR EL QUE FUE ELECTO]],ref!$A$2:$B$8,2,FALSE)</f>
        <v>5</v>
      </c>
      <c r="I117" s="1">
        <f>IF(Tabla1[[#This Row],[CAMBIO DE PACTO DURANTE CONVENCIÓN]]="",0,1)</f>
        <v>0</v>
      </c>
      <c r="J117" s="1">
        <f>IF(Tabla1[[#This Row],[PUEBLO ORIGINARIO]]="",0,1)</f>
        <v>0</v>
      </c>
      <c r="K117" s="1">
        <f>VLOOKUP(Tabla1[[#This Row],[LISTA EN LA CONVENCIÓN]],ref!A$11:B$21,2,FALSE)</f>
        <v>7</v>
      </c>
      <c r="L117" s="1">
        <v>0</v>
      </c>
      <c r="M117" s="1">
        <f>VLOOKUP(C117,inp_ip_mp!$B$2:$C$156,2,FALSE)</f>
        <v>0</v>
      </c>
    </row>
    <row r="118" spans="1:13" x14ac:dyDescent="0.35">
      <c r="A118" s="1">
        <v>117</v>
      </c>
      <c r="B118" s="1" t="s">
        <v>337</v>
      </c>
      <c r="C118" s="1">
        <v>117</v>
      </c>
      <c r="D118" s="1" t="s">
        <v>465</v>
      </c>
      <c r="E118" s="1">
        <f>VLOOKUP(C118,Tabla1[[id]:[EDAD]],4,FALSE)</f>
        <v>37</v>
      </c>
      <c r="F118" s="1">
        <f>IF(Tabla1[[#This Row],[SEXO]]="Masculino",0,1)</f>
        <v>0</v>
      </c>
      <c r="G118" s="1">
        <f>VLOOKUP(C118,Tabla1[[id]:[DISTRITO ]],6,FALSE)</f>
        <v>4</v>
      </c>
      <c r="H118" s="1">
        <f>VLOOKUP(Tabla1[[#This Row],[PACTO POR EL QUE FUE ELECTO]],ref!$A$2:$B$8,2,FALSE)</f>
        <v>1</v>
      </c>
      <c r="I118" s="1">
        <f>IF(Tabla1[[#This Row],[CAMBIO DE PACTO DURANTE CONVENCIÓN]]="",0,1)</f>
        <v>0</v>
      </c>
      <c r="J118" s="1">
        <f>IF(Tabla1[[#This Row],[PUEBLO ORIGINARIO]]="",0,1)</f>
        <v>0</v>
      </c>
      <c r="K118" s="1">
        <f>VLOOKUP(Tabla1[[#This Row],[LISTA EN LA CONVENCIÓN]],ref!A$11:B$21,2,FALSE)</f>
        <v>3</v>
      </c>
      <c r="L118" s="1">
        <v>9</v>
      </c>
      <c r="M118" s="1">
        <f>VLOOKUP(C118,inp_ip_mp!$B$2:$C$156,2,FALSE)</f>
        <v>2</v>
      </c>
    </row>
    <row r="119" spans="1:13" x14ac:dyDescent="0.35">
      <c r="A119" s="1">
        <v>118</v>
      </c>
      <c r="B119" s="1" t="s">
        <v>338</v>
      </c>
      <c r="C119" s="1">
        <v>118</v>
      </c>
      <c r="D119" s="1" t="s">
        <v>512</v>
      </c>
      <c r="E119" s="1">
        <f>VLOOKUP(C119,Tabla1[[id]:[EDAD]],4,FALSE)</f>
        <v>53</v>
      </c>
      <c r="F119" s="1">
        <f>IF(Tabla1[[#This Row],[SEXO]]="Masculino",0,1)</f>
        <v>0</v>
      </c>
      <c r="G119" s="1">
        <f>VLOOKUP(C119,Tabla1[[id]:[DISTRITO ]],6,FALSE)</f>
        <v>6</v>
      </c>
      <c r="H119" s="1">
        <f>VLOOKUP(Tabla1[[#This Row],[PACTO POR EL QUE FUE ELECTO]],ref!$A$2:$B$8,2,FALSE)</f>
        <v>4</v>
      </c>
      <c r="I119" s="1">
        <f>IF(Tabla1[[#This Row],[CAMBIO DE PACTO DURANTE CONVENCIÓN]]="",0,1)</f>
        <v>0</v>
      </c>
      <c r="J119" s="1">
        <f>IF(Tabla1[[#This Row],[PUEBLO ORIGINARIO]]="",0,1)</f>
        <v>0</v>
      </c>
      <c r="K119" s="1">
        <f>VLOOKUP(Tabla1[[#This Row],[LISTA EN LA CONVENCIÓN]],ref!A$11:B$21,2,FALSE)</f>
        <v>2</v>
      </c>
      <c r="L119" s="1">
        <v>0</v>
      </c>
      <c r="M119" s="1">
        <f>VLOOKUP(C119,inp_ip_mp!$B$2:$C$156,2,FALSE)</f>
        <v>0</v>
      </c>
    </row>
    <row r="120" spans="1:13" x14ac:dyDescent="0.35">
      <c r="A120" s="1">
        <v>119</v>
      </c>
      <c r="B120" s="1" t="s">
        <v>339</v>
      </c>
      <c r="C120" s="1">
        <v>119</v>
      </c>
      <c r="D120" s="1" t="s">
        <v>468</v>
      </c>
      <c r="E120" s="1">
        <f>VLOOKUP(C120,Tabla1[[id]:[EDAD]],4,FALSE)</f>
        <v>36</v>
      </c>
      <c r="F120" s="1">
        <f>IF(Tabla1[[#This Row],[SEXO]]="Masculino",0,1)</f>
        <v>1</v>
      </c>
      <c r="G120" s="1">
        <f>VLOOKUP(C120,Tabla1[[id]:[DISTRITO ]],6,FALSE)</f>
        <v>9</v>
      </c>
      <c r="H120" s="1">
        <f>VLOOKUP(Tabla1[[#This Row],[PACTO POR EL QUE FUE ELECTO]],ref!$A$2:$B$8,2,FALSE)</f>
        <v>3</v>
      </c>
      <c r="I120" s="1">
        <f>IF(Tabla1[[#This Row],[CAMBIO DE PACTO DURANTE CONVENCIÓN]]="",0,1)</f>
        <v>1</v>
      </c>
      <c r="J120" s="1">
        <f>IF(Tabla1[[#This Row],[PUEBLO ORIGINARIO]]="",0,1)</f>
        <v>0</v>
      </c>
      <c r="K120" s="1">
        <f>VLOOKUP(Tabla1[[#This Row],[LISTA EN LA CONVENCIÓN]],ref!A$11:B$21,2,FALSE)</f>
        <v>9</v>
      </c>
      <c r="L120" s="1">
        <v>0</v>
      </c>
      <c r="M120" s="1">
        <f>VLOOKUP(C120,inp_ip_mp!$B$2:$C$156,2,FALSE)</f>
        <v>0</v>
      </c>
    </row>
    <row r="121" spans="1:13" x14ac:dyDescent="0.35">
      <c r="A121" s="1">
        <v>120</v>
      </c>
      <c r="B121" s="1" t="s">
        <v>340</v>
      </c>
      <c r="C121" s="1">
        <v>120</v>
      </c>
      <c r="D121" s="1" t="s">
        <v>453</v>
      </c>
      <c r="E121" s="1">
        <f>VLOOKUP(C121,Tabla1[[id]:[EDAD]],4,FALSE)</f>
        <v>37</v>
      </c>
      <c r="F121" s="1">
        <f>IF(Tabla1[[#This Row],[SEXO]]="Masculino",0,1)</f>
        <v>1</v>
      </c>
      <c r="G121" s="1">
        <f>VLOOKUP(C121,Tabla1[[id]:[DISTRITO ]],6,FALSE)</f>
        <v>29</v>
      </c>
      <c r="H121" s="1">
        <f>VLOOKUP(Tabla1[[#This Row],[PACTO POR EL QUE FUE ELECTO]],ref!$A$2:$B$8,2,FALSE)</f>
        <v>6</v>
      </c>
      <c r="I121" s="1">
        <f>IF(Tabla1[[#This Row],[CAMBIO DE PACTO DURANTE CONVENCIÓN]]="",0,1)</f>
        <v>0</v>
      </c>
      <c r="J121" s="1">
        <f>IF(Tabla1[[#This Row],[PUEBLO ORIGINARIO]]="",0,1)</f>
        <v>1</v>
      </c>
      <c r="K121" s="1">
        <f>VLOOKUP(Tabla1[[#This Row],[LISTA EN LA CONVENCIÓN]],ref!A$11:B$21,2,FALSE)</f>
        <v>10</v>
      </c>
      <c r="L121" s="1">
        <v>17</v>
      </c>
      <c r="M121" s="1">
        <f>VLOOKUP(C121,inp_ip_mp!$B$2:$C$156,2,FALSE)</f>
        <v>0</v>
      </c>
    </row>
    <row r="122" spans="1:13" x14ac:dyDescent="0.35">
      <c r="A122" s="1">
        <v>121</v>
      </c>
      <c r="B122" s="1" t="s">
        <v>341</v>
      </c>
      <c r="C122" s="1">
        <v>121</v>
      </c>
      <c r="D122" s="1" t="s">
        <v>431</v>
      </c>
      <c r="E122" s="1">
        <f>VLOOKUP(C122,Tabla1[[id]:[EDAD]],4,FALSE)</f>
        <v>34</v>
      </c>
      <c r="F122" s="1">
        <f>IF(Tabla1[[#This Row],[SEXO]]="Masculino",0,1)</f>
        <v>0</v>
      </c>
      <c r="G122" s="1">
        <f>VLOOKUP(C122,Tabla1[[id]:[DISTRITO ]],6,FALSE)</f>
        <v>16</v>
      </c>
      <c r="H122" s="1">
        <f>VLOOKUP(Tabla1[[#This Row],[PACTO POR EL QUE FUE ELECTO]],ref!$A$2:$B$8,2,FALSE)</f>
        <v>2</v>
      </c>
      <c r="I122" s="1">
        <f>IF(Tabla1[[#This Row],[CAMBIO DE PACTO DURANTE CONVENCIÓN]]="",0,1)</f>
        <v>0</v>
      </c>
      <c r="J122" s="1">
        <f>IF(Tabla1[[#This Row],[PUEBLO ORIGINARIO]]="",0,1)</f>
        <v>0</v>
      </c>
      <c r="K122" s="1">
        <f>VLOOKUP(Tabla1[[#This Row],[LISTA EN LA CONVENCIÓN]],ref!A$11:B$21,2,FALSE)</f>
        <v>1</v>
      </c>
      <c r="L122" s="1">
        <v>5</v>
      </c>
      <c r="M122" s="1">
        <f>VLOOKUP(C122,inp_ip_mp!$B$2:$C$156,2,FALSE)</f>
        <v>2</v>
      </c>
    </row>
    <row r="123" spans="1:13" x14ac:dyDescent="0.35">
      <c r="A123" s="1">
        <v>122</v>
      </c>
      <c r="B123" s="1" t="s">
        <v>342</v>
      </c>
      <c r="C123" s="1">
        <v>122</v>
      </c>
      <c r="D123" s="1" t="s">
        <v>401</v>
      </c>
      <c r="E123" s="1">
        <f>VLOOKUP(C123,Tabla1[[id]:[EDAD]],4,FALSE)</f>
        <v>50</v>
      </c>
      <c r="F123" s="1">
        <f>IF(Tabla1[[#This Row],[SEXO]]="Masculino",0,1)</f>
        <v>0</v>
      </c>
      <c r="G123" s="1">
        <f>VLOOKUP(C123,Tabla1[[id]:[DISTRITO ]],6,FALSE)</f>
        <v>3</v>
      </c>
      <c r="H123" s="1">
        <f>VLOOKUP(Tabla1[[#This Row],[PACTO POR EL QUE FUE ELECTO]],ref!$A$2:$B$8,2,FALSE)</f>
        <v>7</v>
      </c>
      <c r="I123" s="1">
        <f>IF(Tabla1[[#This Row],[CAMBIO DE PACTO DURANTE CONVENCIÓN]]="",0,1)</f>
        <v>0</v>
      </c>
      <c r="J123" s="1">
        <f>IF(Tabla1[[#This Row],[PUEBLO ORIGINARIO]]="",0,1)</f>
        <v>0</v>
      </c>
      <c r="K123" s="1">
        <f>VLOOKUP(Tabla1[[#This Row],[LISTA EN LA CONVENCIÓN]],ref!A$11:B$21,2,FALSE)</f>
        <v>11</v>
      </c>
      <c r="L123" s="1">
        <v>10</v>
      </c>
      <c r="M123" s="1">
        <f>VLOOKUP(C123,inp_ip_mp!$B$2:$C$156,2,FALSE)</f>
        <v>2</v>
      </c>
    </row>
    <row r="124" spans="1:13" x14ac:dyDescent="0.35">
      <c r="A124" s="1">
        <v>123</v>
      </c>
      <c r="B124" s="1" t="s">
        <v>343</v>
      </c>
      <c r="C124" s="1">
        <v>123</v>
      </c>
      <c r="D124" s="1" t="s">
        <v>473</v>
      </c>
      <c r="E124" s="1">
        <f>VLOOKUP(C124,Tabla1[[id]:[EDAD]],4,FALSE)</f>
        <v>49</v>
      </c>
      <c r="F124" s="1">
        <f>IF(Tabla1[[#This Row],[SEXO]]="Masculino",0,1)</f>
        <v>1</v>
      </c>
      <c r="G124" s="1">
        <f>VLOOKUP(C124,Tabla1[[id]:[DISTRITO ]],6,FALSE)</f>
        <v>17</v>
      </c>
      <c r="H124" s="1">
        <f>VLOOKUP(Tabla1[[#This Row],[PACTO POR EL QUE FUE ELECTO]],ref!$A$2:$B$8,2,FALSE)</f>
        <v>2</v>
      </c>
      <c r="I124" s="1">
        <f>IF(Tabla1[[#This Row],[CAMBIO DE PACTO DURANTE CONVENCIÓN]]="",0,1)</f>
        <v>0</v>
      </c>
      <c r="J124" s="1">
        <f>IF(Tabla1[[#This Row],[PUEBLO ORIGINARIO]]="",0,1)</f>
        <v>0</v>
      </c>
      <c r="K124" s="1">
        <f>VLOOKUP(Tabla1[[#This Row],[LISTA EN LA CONVENCIÓN]],ref!A$11:B$21,2,FALSE)</f>
        <v>1</v>
      </c>
      <c r="L124" s="1">
        <v>5</v>
      </c>
      <c r="M124" s="1">
        <f>VLOOKUP(C124,inp_ip_mp!$B$2:$C$156,2,FALSE)</f>
        <v>2</v>
      </c>
    </row>
    <row r="125" spans="1:13" x14ac:dyDescent="0.35">
      <c r="A125" s="1">
        <v>124</v>
      </c>
      <c r="B125" s="1" t="s">
        <v>344</v>
      </c>
      <c r="C125" s="1">
        <v>124</v>
      </c>
      <c r="D125" s="1" t="s">
        <v>459</v>
      </c>
      <c r="E125" s="1">
        <f>VLOOKUP(C125,Tabla1[[id]:[EDAD]],4,FALSE)</f>
        <v>36</v>
      </c>
      <c r="F125" s="1">
        <f>IF(Tabla1[[#This Row],[SEXO]]="Masculino",0,1)</f>
        <v>1</v>
      </c>
      <c r="G125" s="1">
        <f>VLOOKUP(C125,Tabla1[[id]:[DISTRITO ]],6,FALSE)</f>
        <v>18</v>
      </c>
      <c r="H125" s="1">
        <f>VLOOKUP(Tabla1[[#This Row],[PACTO POR EL QUE FUE ELECTO]],ref!$A$2:$B$8,2,FALSE)</f>
        <v>7</v>
      </c>
      <c r="I125" s="1">
        <f>IF(Tabla1[[#This Row],[CAMBIO DE PACTO DURANTE CONVENCIÓN]]="",0,1)</f>
        <v>0</v>
      </c>
      <c r="J125" s="1">
        <f>IF(Tabla1[[#This Row],[PUEBLO ORIGINARIO]]="",0,1)</f>
        <v>0</v>
      </c>
      <c r="K125" s="1">
        <f>VLOOKUP(Tabla1[[#This Row],[LISTA EN LA CONVENCIÓN]],ref!A$11:B$21,2,FALSE)</f>
        <v>11</v>
      </c>
      <c r="L125" s="1">
        <v>7</v>
      </c>
      <c r="M125" s="1">
        <f>VLOOKUP(C125,inp_ip_mp!$B$2:$C$156,2,FALSE)</f>
        <v>2</v>
      </c>
    </row>
    <row r="126" spans="1:13" x14ac:dyDescent="0.35">
      <c r="A126" s="1">
        <v>125</v>
      </c>
      <c r="B126" s="1" t="s">
        <v>345</v>
      </c>
      <c r="C126" s="1">
        <v>125</v>
      </c>
      <c r="D126" s="1" t="s">
        <v>425</v>
      </c>
      <c r="E126" s="1">
        <f>VLOOKUP(C126,Tabla1[[id]:[EDAD]],4,FALSE)</f>
        <v>70</v>
      </c>
      <c r="F126" s="1">
        <f>IF(Tabla1[[#This Row],[SEXO]]="Masculino",0,1)</f>
        <v>1</v>
      </c>
      <c r="G126" s="1">
        <f>VLOOKUP(C126,Tabla1[[id]:[DISTRITO ]],6,FALSE)</f>
        <v>10</v>
      </c>
      <c r="H126" s="1">
        <f>VLOOKUP(Tabla1[[#This Row],[PACTO POR EL QUE FUE ELECTO]],ref!$A$2:$B$8,2,FALSE)</f>
        <v>4</v>
      </c>
      <c r="I126" s="1">
        <f>IF(Tabla1[[#This Row],[CAMBIO DE PACTO DURANTE CONVENCIÓN]]="",0,1)</f>
        <v>0</v>
      </c>
      <c r="J126" s="1">
        <f>IF(Tabla1[[#This Row],[PUEBLO ORIGINARIO]]="",0,1)</f>
        <v>0</v>
      </c>
      <c r="K126" s="1">
        <f>VLOOKUP(Tabla1[[#This Row],[LISTA EN LA CONVENCIÓN]],ref!A$11:B$21,2,FALSE)</f>
        <v>7</v>
      </c>
      <c r="L126" s="1">
        <v>0</v>
      </c>
      <c r="M126" s="1">
        <f>VLOOKUP(C126,inp_ip_mp!$B$2:$C$156,2,FALSE)</f>
        <v>0</v>
      </c>
    </row>
    <row r="127" spans="1:13" x14ac:dyDescent="0.35">
      <c r="A127" s="1">
        <v>126</v>
      </c>
      <c r="B127" s="1" t="s">
        <v>346</v>
      </c>
      <c r="C127" s="1">
        <v>126</v>
      </c>
      <c r="D127" s="1" t="s">
        <v>485</v>
      </c>
      <c r="E127" s="1">
        <f>VLOOKUP(C127,Tabla1[[id]:[EDAD]],4,FALSE)</f>
        <v>52</v>
      </c>
      <c r="F127" s="1">
        <f>IF(Tabla1[[#This Row],[SEXO]]="Masculino",0,1)</f>
        <v>0</v>
      </c>
      <c r="G127" s="1">
        <f>VLOOKUP(C127,Tabla1[[id]:[DISTRITO ]],6,FALSE)</f>
        <v>11</v>
      </c>
      <c r="H127" s="1">
        <f>VLOOKUP(Tabla1[[#This Row],[PACTO POR EL QUE FUE ELECTO]],ref!$A$2:$B$8,2,FALSE)</f>
        <v>1</v>
      </c>
      <c r="I127" s="1">
        <f>IF(Tabla1[[#This Row],[CAMBIO DE PACTO DURANTE CONVENCIÓN]]="",0,1)</f>
        <v>0</v>
      </c>
      <c r="J127" s="1">
        <f>IF(Tabla1[[#This Row],[PUEBLO ORIGINARIO]]="",0,1)</f>
        <v>0</v>
      </c>
      <c r="K127" s="1">
        <f>VLOOKUP(Tabla1[[#This Row],[LISTA EN LA CONVENCIÓN]],ref!A$11:B$21,2,FALSE)</f>
        <v>3</v>
      </c>
      <c r="L127" s="1">
        <v>0</v>
      </c>
      <c r="M127" s="1">
        <f>VLOOKUP(C127,inp_ip_mp!$B$2:$C$156,2,FALSE)</f>
        <v>1</v>
      </c>
    </row>
    <row r="128" spans="1:13" x14ac:dyDescent="0.35">
      <c r="A128" s="1">
        <v>127</v>
      </c>
      <c r="B128" s="1" t="s">
        <v>347</v>
      </c>
      <c r="C128" s="1">
        <v>127</v>
      </c>
      <c r="D128" s="1" t="s">
        <v>391</v>
      </c>
      <c r="E128" s="1">
        <f>VLOOKUP(C128,Tabla1[[id]:[EDAD]],4,FALSE)</f>
        <v>34</v>
      </c>
      <c r="F128" s="1">
        <f>IF(Tabla1[[#This Row],[SEXO]]="Masculino",0,1)</f>
        <v>1</v>
      </c>
      <c r="G128" s="1">
        <f>VLOOKUP(C128,Tabla1[[id]:[DISTRITO ]],6,FALSE)</f>
        <v>21</v>
      </c>
      <c r="H128" s="1">
        <f>VLOOKUP(Tabla1[[#This Row],[PACTO POR EL QUE FUE ELECTO]],ref!$A$2:$B$8,2,FALSE)</f>
        <v>7</v>
      </c>
      <c r="I128" s="1">
        <f>IF(Tabla1[[#This Row],[CAMBIO DE PACTO DURANTE CONVENCIÓN]]="",0,1)</f>
        <v>0</v>
      </c>
      <c r="J128" s="1">
        <f>IF(Tabla1[[#This Row],[PUEBLO ORIGINARIO]]="",0,1)</f>
        <v>0</v>
      </c>
      <c r="K128" s="1">
        <f>VLOOKUP(Tabla1[[#This Row],[LISTA EN LA CONVENCIÓN]],ref!A$11:B$21,2,FALSE)</f>
        <v>11</v>
      </c>
      <c r="L128" s="1">
        <v>7</v>
      </c>
      <c r="M128" s="1">
        <f>VLOOKUP(C128,inp_ip_mp!$B$2:$C$156,2,FALSE)</f>
        <v>2</v>
      </c>
    </row>
    <row r="129" spans="1:13" x14ac:dyDescent="0.35">
      <c r="A129" s="1">
        <v>128</v>
      </c>
      <c r="B129" s="1" t="s">
        <v>348</v>
      </c>
      <c r="C129" s="1">
        <v>128</v>
      </c>
      <c r="D129" s="1" t="s">
        <v>396</v>
      </c>
      <c r="E129" s="1">
        <f>VLOOKUP(C129,Tabla1[[id]:[EDAD]],4,FALSE)</f>
        <v>37</v>
      </c>
      <c r="F129" s="1">
        <f>IF(Tabla1[[#This Row],[SEXO]]="Masculino",0,1)</f>
        <v>1</v>
      </c>
      <c r="G129" s="1">
        <f>VLOOKUP(C129,Tabla1[[id]:[DISTRITO ]],6,FALSE)</f>
        <v>14</v>
      </c>
      <c r="H129" s="1">
        <f>VLOOKUP(Tabla1[[#This Row],[PACTO POR EL QUE FUE ELECTO]],ref!$A$2:$B$8,2,FALSE)</f>
        <v>4</v>
      </c>
      <c r="I129" s="1">
        <f>IF(Tabla1[[#This Row],[CAMBIO DE PACTO DURANTE CONVENCIÓN]]="",0,1)</f>
        <v>0</v>
      </c>
      <c r="J129" s="1">
        <f>IF(Tabla1[[#This Row],[PUEBLO ORIGINARIO]]="",0,1)</f>
        <v>0</v>
      </c>
      <c r="K129" s="1">
        <f>VLOOKUP(Tabla1[[#This Row],[LISTA EN LA CONVENCIÓN]],ref!A$11:B$21,2,FALSE)</f>
        <v>7</v>
      </c>
      <c r="L129" s="1">
        <v>0</v>
      </c>
      <c r="M129" s="1">
        <f>VLOOKUP(C129,inp_ip_mp!$B$2:$C$156,2,FALSE)</f>
        <v>0</v>
      </c>
    </row>
    <row r="130" spans="1:13" x14ac:dyDescent="0.35">
      <c r="A130" s="1">
        <v>129</v>
      </c>
      <c r="B130" s="1" t="s">
        <v>349</v>
      </c>
      <c r="C130" s="1">
        <v>129</v>
      </c>
      <c r="D130" s="1" t="s">
        <v>435</v>
      </c>
      <c r="E130" s="1">
        <f>VLOOKUP(C130,Tabla1[[id]:[EDAD]],4,FALSE)</f>
        <v>50</v>
      </c>
      <c r="F130" s="1">
        <f>IF(Tabla1[[#This Row],[SEXO]]="Masculino",0,1)</f>
        <v>0</v>
      </c>
      <c r="G130" s="1">
        <f>VLOOKUP(C130,Tabla1[[id]:[DISTRITO ]],6,FALSE)</f>
        <v>24</v>
      </c>
      <c r="H130" s="1">
        <f>VLOOKUP(Tabla1[[#This Row],[PACTO POR EL QUE FUE ELECTO]],ref!$A$2:$B$8,2,FALSE)</f>
        <v>1</v>
      </c>
      <c r="I130" s="1">
        <f>IF(Tabla1[[#This Row],[CAMBIO DE PACTO DURANTE CONVENCIÓN]]="",0,1)</f>
        <v>0</v>
      </c>
      <c r="J130" s="1">
        <f>IF(Tabla1[[#This Row],[PUEBLO ORIGINARIO]]="",0,1)</f>
        <v>0</v>
      </c>
      <c r="K130" s="1">
        <f>VLOOKUP(Tabla1[[#This Row],[LISTA EN LA CONVENCIÓN]],ref!A$11:B$21,2,FALSE)</f>
        <v>3</v>
      </c>
      <c r="L130" s="1">
        <v>9</v>
      </c>
      <c r="M130" s="1">
        <f>VLOOKUP(C130,inp_ip_mp!$B$2:$C$156,2,FALSE)</f>
        <v>2</v>
      </c>
    </row>
    <row r="131" spans="1:13" x14ac:dyDescent="0.35">
      <c r="A131" s="1">
        <v>130</v>
      </c>
      <c r="B131" s="1" t="s">
        <v>350</v>
      </c>
      <c r="C131" s="1">
        <v>130</v>
      </c>
      <c r="D131" s="1" t="s">
        <v>417</v>
      </c>
      <c r="E131" s="1">
        <f>VLOOKUP(C131,Tabla1[[id]:[EDAD]],4,FALSE)</f>
        <v>47</v>
      </c>
      <c r="F131" s="1">
        <f>IF(Tabla1[[#This Row],[SEXO]]="Masculino",0,1)</f>
        <v>1</v>
      </c>
      <c r="G131" s="1">
        <f>VLOOKUP(C131,Tabla1[[id]:[DISTRITO ]],6,FALSE)</f>
        <v>1</v>
      </c>
      <c r="H131" s="1">
        <f>VLOOKUP(Tabla1[[#This Row],[PACTO POR EL QUE FUE ELECTO]],ref!$A$2:$B$8,2,FALSE)</f>
        <v>7</v>
      </c>
      <c r="I131" s="1">
        <f>IF(Tabla1[[#This Row],[CAMBIO DE PACTO DURANTE CONVENCIÓN]]="",0,1)</f>
        <v>0</v>
      </c>
      <c r="J131" s="1">
        <f>IF(Tabla1[[#This Row],[PUEBLO ORIGINARIO]]="",0,1)</f>
        <v>0</v>
      </c>
      <c r="K131" s="1">
        <f>VLOOKUP(Tabla1[[#This Row],[LISTA EN LA CONVENCIÓN]],ref!A$11:B$21,2,FALSE)</f>
        <v>11</v>
      </c>
      <c r="L131" s="1">
        <v>0</v>
      </c>
      <c r="M131" s="1">
        <f>VLOOKUP(C131,inp_ip_mp!$B$2:$C$156,2,FALSE)</f>
        <v>1</v>
      </c>
    </row>
    <row r="132" spans="1:13" x14ac:dyDescent="0.35">
      <c r="A132" s="1">
        <v>131</v>
      </c>
      <c r="B132" s="1" t="s">
        <v>351</v>
      </c>
      <c r="C132" s="1">
        <v>131</v>
      </c>
      <c r="D132" s="1" t="s">
        <v>498</v>
      </c>
      <c r="E132" s="1">
        <f>VLOOKUP(C132,Tabla1[[id]:[EDAD]],4,FALSE)</f>
        <v>59</v>
      </c>
      <c r="F132" s="1">
        <f>IF(Tabla1[[#This Row],[SEXO]]="Masculino",0,1)</f>
        <v>0</v>
      </c>
      <c r="G132" s="1">
        <f>VLOOKUP(C132,Tabla1[[id]:[DISTRITO ]],6,FALSE)</f>
        <v>7</v>
      </c>
      <c r="H132" s="1">
        <f>VLOOKUP(Tabla1[[#This Row],[PACTO POR EL QUE FUE ELECTO]],ref!$A$2:$B$8,2,FALSE)</f>
        <v>7</v>
      </c>
      <c r="I132" s="1">
        <f>IF(Tabla1[[#This Row],[CAMBIO DE PACTO DURANTE CONVENCIÓN]]="",0,1)</f>
        <v>0</v>
      </c>
      <c r="J132" s="1">
        <f>IF(Tabla1[[#This Row],[PUEBLO ORIGINARIO]]="",0,1)</f>
        <v>0</v>
      </c>
      <c r="K132" s="1">
        <f>VLOOKUP(Tabla1[[#This Row],[LISTA EN LA CONVENCIÓN]],ref!A$11:B$21,2,FALSE)</f>
        <v>11</v>
      </c>
      <c r="L132" s="1">
        <v>7</v>
      </c>
      <c r="M132" s="1">
        <f>VLOOKUP(C132,inp_ip_mp!$B$2:$C$156,2,FALSE)</f>
        <v>2</v>
      </c>
    </row>
    <row r="133" spans="1:13" x14ac:dyDescent="0.35">
      <c r="A133" s="1">
        <v>132</v>
      </c>
      <c r="B133" s="1" t="s">
        <v>352</v>
      </c>
      <c r="C133" s="1">
        <v>132</v>
      </c>
      <c r="D133" s="1" t="s">
        <v>479</v>
      </c>
      <c r="E133" s="1">
        <f>VLOOKUP(C133,Tabla1[[id]:[EDAD]],4,FALSE)</f>
        <v>35</v>
      </c>
      <c r="F133" s="1">
        <f>IF(Tabla1[[#This Row],[SEXO]]="Masculino",0,1)</f>
        <v>0</v>
      </c>
      <c r="G133" s="1">
        <f>VLOOKUP(C133,Tabla1[[id]:[DISTRITO ]],6,FALSE)</f>
        <v>14</v>
      </c>
      <c r="H133" s="1">
        <f>VLOOKUP(Tabla1[[#This Row],[PACTO POR EL QUE FUE ELECTO]],ref!$A$2:$B$8,2,FALSE)</f>
        <v>1</v>
      </c>
      <c r="I133" s="1">
        <f>IF(Tabla1[[#This Row],[CAMBIO DE PACTO DURANTE CONVENCIÓN]]="",0,1)</f>
        <v>0</v>
      </c>
      <c r="J133" s="1">
        <f>IF(Tabla1[[#This Row],[PUEBLO ORIGINARIO]]="",0,1)</f>
        <v>0</v>
      </c>
      <c r="K133" s="1">
        <f>VLOOKUP(Tabla1[[#This Row],[LISTA EN LA CONVENCIÓN]],ref!A$11:B$21,2,FALSE)</f>
        <v>8</v>
      </c>
      <c r="L133" s="1">
        <v>0</v>
      </c>
      <c r="M133" s="1">
        <f>VLOOKUP(C133,inp_ip_mp!$B$2:$C$156,2,FALSE)</f>
        <v>1</v>
      </c>
    </row>
    <row r="134" spans="1:13" x14ac:dyDescent="0.35">
      <c r="A134" s="1">
        <v>133</v>
      </c>
      <c r="B134" s="1" t="s">
        <v>353</v>
      </c>
      <c r="C134" s="1">
        <v>133</v>
      </c>
      <c r="D134" s="1" t="s">
        <v>432</v>
      </c>
      <c r="E134" s="1">
        <f>VLOOKUP(C134,Tabla1[[id]:[EDAD]],4,FALSE)</f>
        <v>34</v>
      </c>
      <c r="F134" s="1">
        <f>IF(Tabla1[[#This Row],[SEXO]]="Masculino",0,1)</f>
        <v>0</v>
      </c>
      <c r="G134" s="1">
        <f>VLOOKUP(C134,Tabla1[[id]:[DISTRITO ]],6,FALSE)</f>
        <v>16</v>
      </c>
      <c r="H134" s="1">
        <f>VLOOKUP(Tabla1[[#This Row],[PACTO POR EL QUE FUE ELECTO]],ref!$A$2:$B$8,2,FALSE)</f>
        <v>7</v>
      </c>
      <c r="I134" s="1">
        <f>IF(Tabla1[[#This Row],[CAMBIO DE PACTO DURANTE CONVENCIÓN]]="",0,1)</f>
        <v>0</v>
      </c>
      <c r="J134" s="1">
        <f>IF(Tabla1[[#This Row],[PUEBLO ORIGINARIO]]="",0,1)</f>
        <v>0</v>
      </c>
      <c r="K134" s="1">
        <f>VLOOKUP(Tabla1[[#This Row],[LISTA EN LA CONVENCIÓN]],ref!A$11:B$21,2,FALSE)</f>
        <v>11</v>
      </c>
      <c r="L134" s="1">
        <v>0</v>
      </c>
      <c r="M134" s="1">
        <f>VLOOKUP(C134,inp_ip_mp!$B$2:$C$156,2,FALSE)</f>
        <v>1</v>
      </c>
    </row>
    <row r="135" spans="1:13" x14ac:dyDescent="0.35">
      <c r="A135" s="1">
        <v>134</v>
      </c>
      <c r="B135" s="1" t="s">
        <v>354</v>
      </c>
      <c r="C135" s="1">
        <v>134</v>
      </c>
      <c r="D135" s="1" t="s">
        <v>437</v>
      </c>
      <c r="E135" s="1">
        <f>VLOOKUP(C135,Tabla1[[id]:[EDAD]],4,FALSE)</f>
        <v>38</v>
      </c>
      <c r="F135" s="1">
        <f>IF(Tabla1[[#This Row],[SEXO]]="Masculino",0,1)</f>
        <v>0</v>
      </c>
      <c r="G135" s="1">
        <f>VLOOKUP(C135,Tabla1[[id]:[DISTRITO ]],6,FALSE)</f>
        <v>18</v>
      </c>
      <c r="H135" s="1">
        <f>VLOOKUP(Tabla1[[#This Row],[PACTO POR EL QUE FUE ELECTO]],ref!$A$2:$B$8,2,FALSE)</f>
        <v>1</v>
      </c>
      <c r="I135" s="1">
        <f>IF(Tabla1[[#This Row],[CAMBIO DE PACTO DURANTE CONVENCIÓN]]="",0,1)</f>
        <v>0</v>
      </c>
      <c r="J135" s="1">
        <f>IF(Tabla1[[#This Row],[PUEBLO ORIGINARIO]]="",0,1)</f>
        <v>0</v>
      </c>
      <c r="K135" s="1">
        <f>VLOOKUP(Tabla1[[#This Row],[LISTA EN LA CONVENCIÓN]],ref!A$11:B$21,2,FALSE)</f>
        <v>3</v>
      </c>
      <c r="L135" s="1">
        <v>9</v>
      </c>
      <c r="M135" s="1">
        <f>VLOOKUP(C135,inp_ip_mp!$B$2:$C$156,2,FALSE)</f>
        <v>2</v>
      </c>
    </row>
    <row r="136" spans="1:13" x14ac:dyDescent="0.35">
      <c r="A136" s="1">
        <v>135</v>
      </c>
      <c r="B136" s="1" t="s">
        <v>355</v>
      </c>
      <c r="C136" s="1">
        <v>135</v>
      </c>
      <c r="D136" s="1" t="s">
        <v>499</v>
      </c>
      <c r="E136" s="1">
        <f>VLOOKUP(C136,Tabla1[[id]:[EDAD]],4,FALSE)</f>
        <v>75</v>
      </c>
      <c r="F136" s="1">
        <f>IF(Tabla1[[#This Row],[SEXO]]="Masculino",0,1)</f>
        <v>0</v>
      </c>
      <c r="G136" s="1">
        <f>VLOOKUP(C136,Tabla1[[id]:[DISTRITO ]],6,FALSE)</f>
        <v>17</v>
      </c>
      <c r="H136" s="1">
        <f>VLOOKUP(Tabla1[[#This Row],[PACTO POR EL QUE FUE ELECTO]],ref!$A$2:$B$8,2,FALSE)</f>
        <v>2</v>
      </c>
      <c r="I136" s="1">
        <f>IF(Tabla1[[#This Row],[CAMBIO DE PACTO DURANTE CONVENCIÓN]]="",0,1)</f>
        <v>0</v>
      </c>
      <c r="J136" s="1">
        <f>IF(Tabla1[[#This Row],[PUEBLO ORIGINARIO]]="",0,1)</f>
        <v>0</v>
      </c>
      <c r="K136" s="1">
        <f>VLOOKUP(Tabla1[[#This Row],[LISTA EN LA CONVENCIÓN]],ref!A$11:B$21,2,FALSE)</f>
        <v>1</v>
      </c>
      <c r="L136" s="1">
        <v>0</v>
      </c>
      <c r="M136" s="1">
        <f>VLOOKUP(C136,inp_ip_mp!$B$2:$C$156,2,FALSE)</f>
        <v>1</v>
      </c>
    </row>
    <row r="137" spans="1:13" x14ac:dyDescent="0.35">
      <c r="A137" s="1">
        <v>136</v>
      </c>
      <c r="B137" s="1" t="s">
        <v>356</v>
      </c>
      <c r="C137" s="1">
        <v>136</v>
      </c>
      <c r="D137" s="1" t="s">
        <v>392</v>
      </c>
      <c r="E137" s="1">
        <f>VLOOKUP(C137,Tabla1[[id]:[EDAD]],4,FALSE)</f>
        <v>41</v>
      </c>
      <c r="F137" s="1">
        <f>IF(Tabla1[[#This Row],[SEXO]]="Masculino",0,1)</f>
        <v>0</v>
      </c>
      <c r="G137" s="1">
        <f>VLOOKUP(C137,Tabla1[[id]:[DISTRITO ]],6,FALSE)</f>
        <v>5</v>
      </c>
      <c r="H137" s="1">
        <f>VLOOKUP(Tabla1[[#This Row],[PACTO POR EL QUE FUE ELECTO]],ref!$A$2:$B$8,2,FALSE)</f>
        <v>7</v>
      </c>
      <c r="I137" s="1">
        <f>IF(Tabla1[[#This Row],[CAMBIO DE PACTO DURANTE CONVENCIÓN]]="",0,1)</f>
        <v>0</v>
      </c>
      <c r="J137" s="1">
        <f>IF(Tabla1[[#This Row],[PUEBLO ORIGINARIO]]="",0,1)</f>
        <v>0</v>
      </c>
      <c r="K137" s="1">
        <f>VLOOKUP(Tabla1[[#This Row],[LISTA EN LA CONVENCIÓN]],ref!A$11:B$21,2,FALSE)</f>
        <v>11</v>
      </c>
      <c r="L137" s="1">
        <v>7</v>
      </c>
      <c r="M137" s="1">
        <f>VLOOKUP(C137,inp_ip_mp!$B$2:$C$156,2,FALSE)</f>
        <v>2</v>
      </c>
    </row>
    <row r="138" spans="1:13" x14ac:dyDescent="0.35">
      <c r="A138" s="1">
        <v>137</v>
      </c>
      <c r="B138" s="1" t="s">
        <v>357</v>
      </c>
      <c r="C138" s="1">
        <v>137</v>
      </c>
      <c r="D138" s="1" t="s">
        <v>505</v>
      </c>
      <c r="E138" s="1">
        <f>VLOOKUP(C138,Tabla1[[id]:[EDAD]],4,FALSE)</f>
        <v>43</v>
      </c>
      <c r="F138" s="1">
        <f>IF(Tabla1[[#This Row],[SEXO]]="Masculino",0,1)</f>
        <v>1</v>
      </c>
      <c r="G138" s="1">
        <f>VLOOKUP(C138,Tabla1[[id]:[DISTRITO ]],6,FALSE)</f>
        <v>20</v>
      </c>
      <c r="H138" s="1">
        <f>VLOOKUP(Tabla1[[#This Row],[PACTO POR EL QUE FUE ELECTO]],ref!$A$2:$B$8,2,FALSE)</f>
        <v>7</v>
      </c>
      <c r="I138" s="1">
        <f>IF(Tabla1[[#This Row],[CAMBIO DE PACTO DURANTE CONVENCIÓN]]="",0,1)</f>
        <v>0</v>
      </c>
      <c r="J138" s="1">
        <f>IF(Tabla1[[#This Row],[PUEBLO ORIGINARIO]]="",0,1)</f>
        <v>0</v>
      </c>
      <c r="K138" s="1">
        <f>VLOOKUP(Tabla1[[#This Row],[LISTA EN LA CONVENCIÓN]],ref!A$11:B$21,2,FALSE)</f>
        <v>11</v>
      </c>
      <c r="L138" s="1">
        <v>0</v>
      </c>
      <c r="M138" s="1">
        <f>VLOOKUP(C138,inp_ip_mp!$B$2:$C$156,2,FALSE)</f>
        <v>1</v>
      </c>
    </row>
    <row r="139" spans="1:13" x14ac:dyDescent="0.35">
      <c r="A139" s="1">
        <v>138</v>
      </c>
      <c r="B139" s="1" t="s">
        <v>358</v>
      </c>
      <c r="C139" s="1">
        <v>138</v>
      </c>
      <c r="D139" s="1" t="s">
        <v>528</v>
      </c>
      <c r="E139" s="1">
        <f>VLOOKUP(C139,Tabla1[[id]:[EDAD]],4,FALSE)</f>
        <v>55</v>
      </c>
      <c r="F139" s="1">
        <f>IF(Tabla1[[#This Row],[SEXO]]="Masculino",0,1)</f>
        <v>0</v>
      </c>
      <c r="G139" s="1">
        <f>VLOOKUP(C139,Tabla1[[id]:[DISTRITO ]],6,FALSE)</f>
        <v>28</v>
      </c>
      <c r="H139" s="1">
        <f>VLOOKUP(Tabla1[[#This Row],[PACTO POR EL QUE FUE ELECTO]],ref!$A$2:$B$8,2,FALSE)</f>
        <v>7</v>
      </c>
      <c r="I139" s="1">
        <f>IF(Tabla1[[#This Row],[CAMBIO DE PACTO DURANTE CONVENCIÓN]]="",0,1)</f>
        <v>0</v>
      </c>
      <c r="J139" s="1">
        <f>IF(Tabla1[[#This Row],[PUEBLO ORIGINARIO]]="",0,1)</f>
        <v>0</v>
      </c>
      <c r="K139" s="1">
        <f>VLOOKUP(Tabla1[[#This Row],[LISTA EN LA CONVENCIÓN]],ref!A$11:B$21,2,FALSE)</f>
        <v>11</v>
      </c>
      <c r="L139" s="1">
        <v>10</v>
      </c>
      <c r="M139" s="1">
        <f>VLOOKUP(C139,inp_ip_mp!$B$2:$C$156,2,FALSE)</f>
        <v>2</v>
      </c>
    </row>
    <row r="140" spans="1:13" x14ac:dyDescent="0.35">
      <c r="A140" s="1">
        <v>139</v>
      </c>
      <c r="B140" s="1" t="s">
        <v>359</v>
      </c>
      <c r="C140" s="1">
        <v>139</v>
      </c>
      <c r="D140" s="1" t="s">
        <v>452</v>
      </c>
      <c r="E140" s="1">
        <f>VLOOKUP(C140,Tabla1[[id]:[EDAD]],4,FALSE)</f>
        <v>42</v>
      </c>
      <c r="F140" s="1">
        <f>IF(Tabla1[[#This Row],[SEXO]]="Masculino",0,1)</f>
        <v>0</v>
      </c>
      <c r="G140" s="1">
        <f>VLOOKUP(C140,Tabla1[[id]:[DISTRITO ]],6,FALSE)</f>
        <v>9</v>
      </c>
      <c r="H140" s="1">
        <f>VLOOKUP(Tabla1[[#This Row],[PACTO POR EL QUE FUE ELECTO]],ref!$A$2:$B$8,2,FALSE)</f>
        <v>5</v>
      </c>
      <c r="I140" s="1">
        <f>IF(Tabla1[[#This Row],[CAMBIO DE PACTO DURANTE CONVENCIÓN]]="",0,1)</f>
        <v>0</v>
      </c>
      <c r="J140" s="1">
        <f>IF(Tabla1[[#This Row],[PUEBLO ORIGINARIO]]="",0,1)</f>
        <v>0</v>
      </c>
      <c r="K140" s="1">
        <f>VLOOKUP(Tabla1[[#This Row],[LISTA EN LA CONVENCIÓN]],ref!A$11:B$21,2,FALSE)</f>
        <v>2</v>
      </c>
      <c r="L140" s="1">
        <v>0</v>
      </c>
      <c r="M140" s="1">
        <f>VLOOKUP(C140,inp_ip_mp!$B$2:$C$156,2,FALSE)</f>
        <v>0</v>
      </c>
    </row>
    <row r="141" spans="1:13" x14ac:dyDescent="0.35">
      <c r="A141" s="1">
        <v>140</v>
      </c>
      <c r="B141" s="1" t="s">
        <v>360</v>
      </c>
      <c r="C141" s="1">
        <v>140</v>
      </c>
      <c r="D141" s="54" t="s">
        <v>743</v>
      </c>
      <c r="E141" s="1">
        <f>VLOOKUP(C141,Tabla1[[id]:[EDAD]],4,FALSE)</f>
        <v>38</v>
      </c>
      <c r="F141" s="1">
        <f>IF(Tabla1[[#This Row],[SEXO]]="Masculino",0,1)</f>
        <v>0</v>
      </c>
      <c r="G141" s="1">
        <f>VLOOKUP(C141,Tabla1[[id]:[DISTRITO ]],6,FALSE)</f>
        <v>13</v>
      </c>
      <c r="H141" s="1">
        <f>VLOOKUP(Tabla1[[#This Row],[PACTO POR EL QUE FUE ELECTO]],ref!$A$2:$B$8,2,FALSE)</f>
        <v>3</v>
      </c>
      <c r="I141" s="1">
        <f>IF(Tabla1[[#This Row],[CAMBIO DE PACTO DURANTE CONVENCIÓN]]="",0,1)</f>
        <v>1</v>
      </c>
      <c r="J141" s="1">
        <f>IF(Tabla1[[#This Row],[PUEBLO ORIGINARIO]]="",0,1)</f>
        <v>0</v>
      </c>
      <c r="K141" s="1">
        <f>VLOOKUP(Tabla1[[#This Row],[LISTA EN LA CONVENCIÓN]],ref!A$11:B$21,2,FALSE)</f>
        <v>9</v>
      </c>
      <c r="L141" s="1">
        <v>0</v>
      </c>
      <c r="M141" s="1">
        <f>VLOOKUP(C141,inp_ip_mp!$B$2:$C$156,2,FALSE)</f>
        <v>0</v>
      </c>
    </row>
    <row r="142" spans="1:13" x14ac:dyDescent="0.35">
      <c r="A142" s="1">
        <v>141</v>
      </c>
      <c r="B142" s="1" t="s">
        <v>361</v>
      </c>
      <c r="C142" s="1">
        <v>141</v>
      </c>
      <c r="D142" s="1" t="s">
        <v>500</v>
      </c>
      <c r="E142" s="1">
        <f>VLOOKUP(C142,Tabla1[[id]:[EDAD]],4,FALSE)</f>
        <v>40</v>
      </c>
      <c r="F142" s="1">
        <f>IF(Tabla1[[#This Row],[SEXO]]="Masculino",0,1)</f>
        <v>1</v>
      </c>
      <c r="G142" s="1">
        <f>VLOOKUP(C142,Tabla1[[id]:[DISTRITO ]],6,FALSE)</f>
        <v>29</v>
      </c>
      <c r="H142" s="1">
        <f>VLOOKUP(Tabla1[[#This Row],[PACTO POR EL QUE FUE ELECTO]],ref!$A$2:$B$8,2,FALSE)</f>
        <v>6</v>
      </c>
      <c r="I142" s="1">
        <f>IF(Tabla1[[#This Row],[CAMBIO DE PACTO DURANTE CONVENCIÓN]]="",0,1)</f>
        <v>0</v>
      </c>
      <c r="J142" s="1">
        <f>IF(Tabla1[[#This Row],[PUEBLO ORIGINARIO]]="",0,1)</f>
        <v>1</v>
      </c>
      <c r="K142" s="1">
        <f>VLOOKUP(Tabla1[[#This Row],[LISTA EN LA CONVENCIÓN]],ref!A$11:B$21,2,FALSE)</f>
        <v>10</v>
      </c>
      <c r="L142" s="1">
        <v>17</v>
      </c>
      <c r="M142" s="1">
        <f>VLOOKUP(C142,inp_ip_mp!$B$2:$C$156,2,FALSE)</f>
        <v>0</v>
      </c>
    </row>
    <row r="143" spans="1:13" x14ac:dyDescent="0.35">
      <c r="A143" s="1">
        <v>142</v>
      </c>
      <c r="B143" s="1" t="s">
        <v>362</v>
      </c>
      <c r="C143" s="1">
        <v>142</v>
      </c>
      <c r="D143" s="1" t="s">
        <v>388</v>
      </c>
      <c r="E143" s="1">
        <f>VLOOKUP(C143,Tabla1[[id]:[EDAD]],4,FALSE)</f>
        <v>52</v>
      </c>
      <c r="F143" s="1">
        <f>IF(Tabla1[[#This Row],[SEXO]]="Masculino",0,1)</f>
        <v>1</v>
      </c>
      <c r="G143" s="1">
        <f>VLOOKUP(C143,Tabla1[[id]:[DISTRITO ]],6,FALSE)</f>
        <v>20</v>
      </c>
      <c r="H143" s="1">
        <f>VLOOKUP(Tabla1[[#This Row],[PACTO POR EL QUE FUE ELECTO]],ref!$A$2:$B$8,2,FALSE)</f>
        <v>3</v>
      </c>
      <c r="I143" s="1">
        <f>IF(Tabla1[[#This Row],[CAMBIO DE PACTO DURANTE CONVENCIÓN]]="",0,1)</f>
        <v>1</v>
      </c>
      <c r="J143" s="1">
        <f>IF(Tabla1[[#This Row],[PUEBLO ORIGINARIO]]="",0,1)</f>
        <v>0</v>
      </c>
      <c r="K143" s="1">
        <f>VLOOKUP(Tabla1[[#This Row],[LISTA EN LA CONVENCIÓN]],ref!A$11:B$21,2,FALSE)</f>
        <v>8</v>
      </c>
      <c r="L143" s="1">
        <v>0</v>
      </c>
      <c r="M143" s="1">
        <f>VLOOKUP(C143,inp_ip_mp!$B$2:$C$156,2,FALSE)</f>
        <v>0</v>
      </c>
    </row>
    <row r="144" spans="1:13" x14ac:dyDescent="0.35">
      <c r="A144" s="1">
        <v>143</v>
      </c>
      <c r="B144" s="1" t="s">
        <v>363</v>
      </c>
      <c r="C144" s="1">
        <v>143</v>
      </c>
      <c r="D144" s="1" t="s">
        <v>495</v>
      </c>
      <c r="E144" s="1">
        <f>VLOOKUP(C144,Tabla1[[id]:[EDAD]],4,FALSE)</f>
        <v>35</v>
      </c>
      <c r="F144" s="1">
        <f>IF(Tabla1[[#This Row],[SEXO]]="Masculino",0,1)</f>
        <v>0</v>
      </c>
      <c r="G144" s="1">
        <f>VLOOKUP(C144,Tabla1[[id]:[DISTRITO ]],6,FALSE)</f>
        <v>6</v>
      </c>
      <c r="H144" s="1">
        <f>VLOOKUP(Tabla1[[#This Row],[PACTO POR EL QUE FUE ELECTO]],ref!$A$2:$B$8,2,FALSE)</f>
        <v>7</v>
      </c>
      <c r="I144" s="1">
        <f>IF(Tabla1[[#This Row],[CAMBIO DE PACTO DURANTE CONVENCIÓN]]="",0,1)</f>
        <v>0</v>
      </c>
      <c r="J144" s="1">
        <f>IF(Tabla1[[#This Row],[PUEBLO ORIGINARIO]]="",0,1)</f>
        <v>0</v>
      </c>
      <c r="K144" s="1">
        <f>VLOOKUP(Tabla1[[#This Row],[LISTA EN LA CONVENCIÓN]],ref!A$11:B$21,2,FALSE)</f>
        <v>11</v>
      </c>
      <c r="L144" s="1">
        <v>7</v>
      </c>
      <c r="M144" s="1">
        <f>VLOOKUP(C144,inp_ip_mp!$B$2:$C$156,2,FALSE)</f>
        <v>2</v>
      </c>
    </row>
    <row r="145" spans="1:13" x14ac:dyDescent="0.35">
      <c r="A145" s="1">
        <v>144</v>
      </c>
      <c r="B145" s="1" t="s">
        <v>364</v>
      </c>
      <c r="C145" s="1">
        <v>144</v>
      </c>
      <c r="D145" s="1" t="s">
        <v>464</v>
      </c>
      <c r="E145" s="1">
        <f>VLOOKUP(C145,Tabla1[[id]:[EDAD]],4,FALSE)</f>
        <v>41</v>
      </c>
      <c r="F145" s="1">
        <f>IF(Tabla1[[#This Row],[SEXO]]="Masculino",0,1)</f>
        <v>1</v>
      </c>
      <c r="G145" s="1">
        <f>VLOOKUP(C145,Tabla1[[id]:[DISTRITO ]],6,FALSE)</f>
        <v>22</v>
      </c>
      <c r="H145" s="1">
        <f>VLOOKUP(Tabla1[[#This Row],[PACTO POR EL QUE FUE ELECTO]],ref!$A$2:$B$8,2,FALSE)</f>
        <v>7</v>
      </c>
      <c r="I145" s="1">
        <f>IF(Tabla1[[#This Row],[CAMBIO DE PACTO DURANTE CONVENCIÓN]]="",0,1)</f>
        <v>0</v>
      </c>
      <c r="J145" s="1">
        <f>IF(Tabla1[[#This Row],[PUEBLO ORIGINARIO]]="",0,1)</f>
        <v>0</v>
      </c>
      <c r="K145" s="1">
        <f>VLOOKUP(Tabla1[[#This Row],[LISTA EN LA CONVENCIÓN]],ref!A$11:B$21,2,FALSE)</f>
        <v>11</v>
      </c>
      <c r="L145" s="1">
        <v>0</v>
      </c>
      <c r="M145" s="1">
        <f>VLOOKUP(C145,inp_ip_mp!$B$2:$C$156,2,FALSE)</f>
        <v>1</v>
      </c>
    </row>
    <row r="146" spans="1:13" x14ac:dyDescent="0.35">
      <c r="A146" s="1">
        <v>145</v>
      </c>
      <c r="B146" s="1" t="s">
        <v>365</v>
      </c>
      <c r="C146" s="1">
        <v>145</v>
      </c>
      <c r="D146" s="1" t="s">
        <v>423</v>
      </c>
      <c r="E146" s="1">
        <f>VLOOKUP(C146,Tabla1[[id]:[EDAD]],4,FALSE)</f>
        <v>35</v>
      </c>
      <c r="F146" s="1">
        <f>IF(Tabla1[[#This Row],[SEXO]]="Masculino",0,1)</f>
        <v>1</v>
      </c>
      <c r="G146" s="1">
        <f>VLOOKUP(C146,Tabla1[[id]:[DISTRITO ]],6,FALSE)</f>
        <v>20</v>
      </c>
      <c r="H146" s="1">
        <f>VLOOKUP(Tabla1[[#This Row],[PACTO POR EL QUE FUE ELECTO]],ref!$A$2:$B$8,2,FALSE)</f>
        <v>4</v>
      </c>
      <c r="I146" s="1">
        <f>IF(Tabla1[[#This Row],[CAMBIO DE PACTO DURANTE CONVENCIÓN]]="",0,1)</f>
        <v>0</v>
      </c>
      <c r="J146" s="1">
        <f>IF(Tabla1[[#This Row],[PUEBLO ORIGINARIO]]="",0,1)</f>
        <v>0</v>
      </c>
      <c r="K146" s="1">
        <f>VLOOKUP(Tabla1[[#This Row],[LISTA EN LA CONVENCIÓN]],ref!A$11:B$21,2,FALSE)</f>
        <v>7</v>
      </c>
      <c r="L146" s="1">
        <v>0</v>
      </c>
      <c r="M146" s="1">
        <f>VLOOKUP(C146,inp_ip_mp!$B$2:$C$156,2,FALSE)</f>
        <v>0</v>
      </c>
    </row>
    <row r="147" spans="1:13" x14ac:dyDescent="0.35">
      <c r="A147" s="1">
        <v>146</v>
      </c>
      <c r="B147" s="1" t="s">
        <v>366</v>
      </c>
      <c r="C147" s="1">
        <v>146</v>
      </c>
      <c r="D147" s="1" t="s">
        <v>450</v>
      </c>
      <c r="E147" s="1">
        <f>VLOOKUP(C147,Tabla1[[id]:[EDAD]],4,FALSE)</f>
        <v>50</v>
      </c>
      <c r="F147" s="1">
        <f>IF(Tabla1[[#This Row],[SEXO]]="Masculino",0,1)</f>
        <v>1</v>
      </c>
      <c r="G147" s="1">
        <f>VLOOKUP(C147,Tabla1[[id]:[DISTRITO ]],6,FALSE)</f>
        <v>7</v>
      </c>
      <c r="H147" s="1">
        <f>VLOOKUP(Tabla1[[#This Row],[PACTO POR EL QUE FUE ELECTO]],ref!$A$2:$B$8,2,FALSE)</f>
        <v>3</v>
      </c>
      <c r="I147" s="1">
        <f>IF(Tabla1[[#This Row],[CAMBIO DE PACTO DURANTE CONVENCIÓN]]="",0,1)</f>
        <v>1</v>
      </c>
      <c r="J147" s="1">
        <f>IF(Tabla1[[#This Row],[PUEBLO ORIGINARIO]]="",0,1)</f>
        <v>0</v>
      </c>
      <c r="K147" s="1">
        <f>VLOOKUP(Tabla1[[#This Row],[LISTA EN LA CONVENCIÓN]],ref!A$11:B$21,2,FALSE)</f>
        <v>5</v>
      </c>
      <c r="L147" s="1">
        <v>0</v>
      </c>
      <c r="M147" s="1">
        <f>VLOOKUP(C147,inp_ip_mp!$B$2:$C$156,2,FALSE)</f>
        <v>1</v>
      </c>
    </row>
    <row r="148" spans="1:13" x14ac:dyDescent="0.35">
      <c r="A148" s="1">
        <v>147</v>
      </c>
      <c r="B148" s="1" t="s">
        <v>367</v>
      </c>
      <c r="C148" s="1">
        <v>147</v>
      </c>
      <c r="D148" s="1" t="s">
        <v>398</v>
      </c>
      <c r="E148" s="1">
        <f>VLOOKUP(C148,Tabla1[[id]:[EDAD]],4,FALSE)</f>
        <v>39</v>
      </c>
      <c r="F148" s="1">
        <f>IF(Tabla1[[#This Row],[SEXO]]="Masculino",0,1)</f>
        <v>1</v>
      </c>
      <c r="G148" s="1">
        <f>VLOOKUP(C148,Tabla1[[id]:[DISTRITO ]],6,FALSE)</f>
        <v>8</v>
      </c>
      <c r="H148" s="1">
        <f>VLOOKUP(Tabla1[[#This Row],[PACTO POR EL QUE FUE ELECTO]],ref!$A$2:$B$8,2,FALSE)</f>
        <v>2</v>
      </c>
      <c r="I148" s="1">
        <f>IF(Tabla1[[#This Row],[CAMBIO DE PACTO DURANTE CONVENCIÓN]]="",0,1)</f>
        <v>0</v>
      </c>
      <c r="J148" s="1">
        <f>IF(Tabla1[[#This Row],[PUEBLO ORIGINARIO]]="",0,1)</f>
        <v>0</v>
      </c>
      <c r="K148" s="1">
        <f>VLOOKUP(Tabla1[[#This Row],[LISTA EN LA CONVENCIÓN]],ref!A$11:B$21,2,FALSE)</f>
        <v>4</v>
      </c>
      <c r="L148" s="1">
        <v>8</v>
      </c>
      <c r="M148" s="1">
        <f>VLOOKUP(C148,inp_ip_mp!$B$2:$C$156,2,FALSE)</f>
        <v>2</v>
      </c>
    </row>
    <row r="149" spans="1:13" x14ac:dyDescent="0.35">
      <c r="A149" s="1">
        <v>148</v>
      </c>
      <c r="B149" s="1" t="s">
        <v>368</v>
      </c>
      <c r="C149" s="1">
        <v>148</v>
      </c>
      <c r="D149" s="1" t="s">
        <v>448</v>
      </c>
      <c r="E149" s="1">
        <f>VLOOKUP(C149,Tabla1[[id]:[EDAD]],4,FALSE)</f>
        <v>49</v>
      </c>
      <c r="F149" s="1">
        <f>IF(Tabla1[[#This Row],[SEXO]]="Masculino",0,1)</f>
        <v>1</v>
      </c>
      <c r="G149" s="1">
        <f>VLOOKUP(C149,Tabla1[[id]:[DISTRITO ]],6,FALSE)</f>
        <v>10</v>
      </c>
      <c r="H149" s="1">
        <f>VLOOKUP(Tabla1[[#This Row],[PACTO POR EL QUE FUE ELECTO]],ref!$A$2:$B$8,2,FALSE)</f>
        <v>7</v>
      </c>
      <c r="I149" s="1">
        <f>IF(Tabla1[[#This Row],[CAMBIO DE PACTO DURANTE CONVENCIÓN]]="",0,1)</f>
        <v>0</v>
      </c>
      <c r="J149" s="1">
        <f>IF(Tabla1[[#This Row],[PUEBLO ORIGINARIO]]="",0,1)</f>
        <v>0</v>
      </c>
      <c r="K149" s="1">
        <f>VLOOKUP(Tabla1[[#This Row],[LISTA EN LA CONVENCIÓN]],ref!A$11:B$21,2,FALSE)</f>
        <v>11</v>
      </c>
      <c r="L149" s="1">
        <v>0</v>
      </c>
      <c r="M149" s="1">
        <f>VLOOKUP(C149,inp_ip_mp!$B$2:$C$156,2,FALSE)</f>
        <v>1</v>
      </c>
    </row>
    <row r="150" spans="1:13" x14ac:dyDescent="0.35">
      <c r="A150" s="1">
        <v>149</v>
      </c>
      <c r="B150" s="1" t="s">
        <v>369</v>
      </c>
      <c r="C150" s="1">
        <v>149</v>
      </c>
      <c r="D150" s="1" t="s">
        <v>531</v>
      </c>
      <c r="E150" s="1">
        <f>VLOOKUP(C150,Tabla1[[id]:[EDAD]],4,FALSE)</f>
        <v>40</v>
      </c>
      <c r="F150" s="1">
        <f>IF(Tabla1[[#This Row],[SEXO]]="Masculino",0,1)</f>
        <v>1</v>
      </c>
      <c r="G150" s="1">
        <f>VLOOKUP(C150,Tabla1[[id]:[DISTRITO ]],6,FALSE)</f>
        <v>29</v>
      </c>
      <c r="H150" s="1">
        <f>VLOOKUP(Tabla1[[#This Row],[PACTO POR EL QUE FUE ELECTO]],ref!$A$2:$B$8,2,FALSE)</f>
        <v>6</v>
      </c>
      <c r="I150" s="1">
        <f>IF(Tabla1[[#This Row],[CAMBIO DE PACTO DURANTE CONVENCIÓN]]="",0,1)</f>
        <v>0</v>
      </c>
      <c r="J150" s="1">
        <f>IF(Tabla1[[#This Row],[PUEBLO ORIGINARIO]]="",0,1)</f>
        <v>1</v>
      </c>
      <c r="K150" s="1">
        <f>VLOOKUP(Tabla1[[#This Row],[LISTA EN LA CONVENCIÓN]],ref!A$11:B$21,2,FALSE)</f>
        <v>10</v>
      </c>
      <c r="L150" s="1">
        <v>17</v>
      </c>
      <c r="M150" s="1">
        <f>VLOOKUP(C150,inp_ip_mp!$B$2:$C$156,2,FALSE)</f>
        <v>0</v>
      </c>
    </row>
    <row r="151" spans="1:13" x14ac:dyDescent="0.35">
      <c r="A151" s="1">
        <v>150</v>
      </c>
      <c r="B151" s="1" t="s">
        <v>370</v>
      </c>
      <c r="C151" s="1">
        <v>150</v>
      </c>
      <c r="D151" s="1" t="s">
        <v>457</v>
      </c>
      <c r="E151" s="1">
        <f>VLOOKUP(C151,Tabla1[[id]:[EDAD]],4,FALSE)</f>
        <v>31</v>
      </c>
      <c r="F151" s="1">
        <f>IF(Tabla1[[#This Row],[SEXO]]="Masculino",0,1)</f>
        <v>0</v>
      </c>
      <c r="G151" s="1">
        <f>VLOOKUP(C151,Tabla1[[id]:[DISTRITO ]],6,FALSE)</f>
        <v>27</v>
      </c>
      <c r="H151" s="1">
        <f>VLOOKUP(Tabla1[[#This Row],[PACTO POR EL QUE FUE ELECTO]],ref!$A$2:$B$8,2,FALSE)</f>
        <v>1</v>
      </c>
      <c r="I151" s="1">
        <f>IF(Tabla1[[#This Row],[CAMBIO DE PACTO DURANTE CONVENCIÓN]]="",0,1)</f>
        <v>0</v>
      </c>
      <c r="J151" s="1">
        <f>IF(Tabla1[[#This Row],[PUEBLO ORIGINARIO]]="",0,1)</f>
        <v>0</v>
      </c>
      <c r="K151" s="1">
        <f>VLOOKUP(Tabla1[[#This Row],[LISTA EN LA CONVENCIÓN]],ref!A$11:B$21,2,FALSE)</f>
        <v>3</v>
      </c>
      <c r="L151" s="1">
        <v>9</v>
      </c>
      <c r="M151" s="1">
        <f>VLOOKUP(C151,inp_ip_mp!$B$2:$C$156,2,FALSE)</f>
        <v>2</v>
      </c>
    </row>
    <row r="152" spans="1:13" x14ac:dyDescent="0.35">
      <c r="A152" s="1">
        <v>151</v>
      </c>
      <c r="B152" s="1" t="s">
        <v>371</v>
      </c>
      <c r="C152" s="1">
        <v>151</v>
      </c>
      <c r="D152" s="1" t="s">
        <v>440</v>
      </c>
      <c r="E152" s="1">
        <f>VLOOKUP(C152,Tabla1[[id]:[EDAD]],4,FALSE)</f>
        <v>22</v>
      </c>
      <c r="F152" s="1">
        <f>IF(Tabla1[[#This Row],[SEXO]]="Masculino",0,1)</f>
        <v>1</v>
      </c>
      <c r="G152" s="1">
        <f>VLOOKUP(C152,Tabla1[[id]:[DISTRITO ]],6,FALSE)</f>
        <v>8</v>
      </c>
      <c r="H152" s="1">
        <f>VLOOKUP(Tabla1[[#This Row],[PACTO POR EL QUE FUE ELECTO]],ref!$A$2:$B$8,2,FALSE)</f>
        <v>2</v>
      </c>
      <c r="I152" s="1">
        <f>IF(Tabla1[[#This Row],[CAMBIO DE PACTO DURANTE CONVENCIÓN]]="",0,1)</f>
        <v>0</v>
      </c>
      <c r="J152" s="1">
        <f>IF(Tabla1[[#This Row],[PUEBLO ORIGINARIO]]="",0,1)</f>
        <v>0</v>
      </c>
      <c r="K152" s="1">
        <f>VLOOKUP(Tabla1[[#This Row],[LISTA EN LA CONVENCIÓN]],ref!A$11:B$21,2,FALSE)</f>
        <v>1</v>
      </c>
      <c r="L152" s="1">
        <v>1</v>
      </c>
      <c r="M152" s="1">
        <f>VLOOKUP(C152,inp_ip_mp!$B$2:$C$156,2,FALSE)</f>
        <v>2</v>
      </c>
    </row>
    <row r="153" spans="1:13" x14ac:dyDescent="0.35">
      <c r="A153" s="1">
        <v>152</v>
      </c>
      <c r="B153" s="1" t="s">
        <v>372</v>
      </c>
      <c r="C153" s="1">
        <v>152</v>
      </c>
      <c r="D153" s="1" t="s">
        <v>467</v>
      </c>
      <c r="E153" s="1">
        <f>VLOOKUP(C153,Tabla1[[id]:[EDAD]],4,FALSE)</f>
        <v>42</v>
      </c>
      <c r="F153" s="1">
        <f>IF(Tabla1[[#This Row],[SEXO]]="Masculino",0,1)</f>
        <v>1</v>
      </c>
      <c r="G153" s="1">
        <f>VLOOKUP(C153,Tabla1[[id]:[DISTRITO ]],6,FALSE)</f>
        <v>21</v>
      </c>
      <c r="H153" s="1">
        <f>VLOOKUP(Tabla1[[#This Row],[PACTO POR EL QUE FUE ELECTO]],ref!$A$2:$B$8,2,FALSE)</f>
        <v>2</v>
      </c>
      <c r="I153" s="1">
        <f>IF(Tabla1[[#This Row],[CAMBIO DE PACTO DURANTE CONVENCIÓN]]="",0,1)</f>
        <v>1</v>
      </c>
      <c r="J153" s="1">
        <f>IF(Tabla1[[#This Row],[PUEBLO ORIGINARIO]]="",0,1)</f>
        <v>0</v>
      </c>
      <c r="K153" s="1">
        <f>VLOOKUP(Tabla1[[#This Row],[LISTA EN LA CONVENCIÓN]],ref!A$11:B$21,2,FALSE)</f>
        <v>6</v>
      </c>
      <c r="L153" s="1">
        <v>98</v>
      </c>
      <c r="M153" s="1">
        <f>VLOOKUP(C153,inp_ip_mp!$B$2:$C$156,2,FALSE)</f>
        <v>1</v>
      </c>
    </row>
    <row r="154" spans="1:13" x14ac:dyDescent="0.35">
      <c r="A154" s="1">
        <v>153</v>
      </c>
      <c r="B154" s="1" t="s">
        <v>373</v>
      </c>
      <c r="C154" s="1">
        <v>153</v>
      </c>
      <c r="D154" s="1" t="s">
        <v>524</v>
      </c>
      <c r="E154" s="1">
        <f>VLOOKUP(C154,Tabla1[[id]:[EDAD]],4,FALSE)</f>
        <v>52</v>
      </c>
      <c r="F154" s="1">
        <f>IF(Tabla1[[#This Row],[SEXO]]="Masculino",0,1)</f>
        <v>0</v>
      </c>
      <c r="G154" s="1">
        <f>VLOOKUP(C154,Tabla1[[id]:[DISTRITO ]],6,FALSE)</f>
        <v>29</v>
      </c>
      <c r="H154" s="1">
        <f>VLOOKUP(Tabla1[[#This Row],[PACTO POR EL QUE FUE ELECTO]],ref!$A$2:$B$8,2,FALSE)</f>
        <v>6</v>
      </c>
      <c r="I154" s="1">
        <f>IF(Tabla1[[#This Row],[CAMBIO DE PACTO DURANTE CONVENCIÓN]]="",0,1)</f>
        <v>0</v>
      </c>
      <c r="J154" s="1">
        <f>IF(Tabla1[[#This Row],[PUEBLO ORIGINARIO]]="",0,1)</f>
        <v>1</v>
      </c>
      <c r="K154" s="1">
        <f>VLOOKUP(Tabla1[[#This Row],[LISTA EN LA CONVENCIÓN]],ref!A$11:B$21,2,FALSE)</f>
        <v>10</v>
      </c>
      <c r="L154" s="1">
        <v>17</v>
      </c>
      <c r="M154" s="1">
        <f>VLOOKUP(C154,inp_ip_mp!$B$2:$C$156,2,FALSE)</f>
        <v>0</v>
      </c>
    </row>
    <row r="155" spans="1:13" x14ac:dyDescent="0.35">
      <c r="A155" s="1">
        <v>154</v>
      </c>
      <c r="B155" s="1" t="s">
        <v>374</v>
      </c>
      <c r="C155" s="1">
        <v>154</v>
      </c>
      <c r="D155" s="1" t="s">
        <v>518</v>
      </c>
      <c r="E155" s="1">
        <f>VLOOKUP(C155,Tabla1[[id]:[EDAD]],4,FALSE)</f>
        <v>46</v>
      </c>
      <c r="F155" s="1">
        <f>IF(Tabla1[[#This Row],[SEXO]]="Masculino",0,1)</f>
        <v>0</v>
      </c>
      <c r="G155" s="1">
        <f>VLOOKUP(C155,Tabla1[[id]:[DISTRITO ]],6,FALSE)</f>
        <v>29</v>
      </c>
      <c r="H155" s="1">
        <f>VLOOKUP(Tabla1[[#This Row],[PACTO POR EL QUE FUE ELECTO]],ref!$A$2:$B$8,2,FALSE)</f>
        <v>6</v>
      </c>
      <c r="I155" s="1">
        <f>IF(Tabla1[[#This Row],[CAMBIO DE PACTO DURANTE CONVENCIÓN]]="",0,1)</f>
        <v>0</v>
      </c>
      <c r="J155" s="1">
        <f>IF(Tabla1[[#This Row],[PUEBLO ORIGINARIO]]="",0,1)</f>
        <v>1</v>
      </c>
      <c r="K155" s="1">
        <f>VLOOKUP(Tabla1[[#This Row],[LISTA EN LA CONVENCIÓN]],ref!A$11:B$21,2,FALSE)</f>
        <v>10</v>
      </c>
      <c r="L155" s="1">
        <v>17</v>
      </c>
      <c r="M155" s="1">
        <f>VLOOKUP(C155,inp_ip_mp!$B$2:$C$156,2,FALSE)</f>
        <v>0</v>
      </c>
    </row>
    <row r="156" spans="1:13" x14ac:dyDescent="0.35">
      <c r="A156" s="1">
        <v>155</v>
      </c>
      <c r="B156" s="1" t="s">
        <v>375</v>
      </c>
      <c r="C156" s="1">
        <v>155</v>
      </c>
      <c r="D156" s="1" t="s">
        <v>470</v>
      </c>
      <c r="E156" s="1">
        <f>VLOOKUP(C156,Tabla1[[id]:[EDAD]],4,FALSE)</f>
        <v>31</v>
      </c>
      <c r="F156" s="1">
        <f>IF(Tabla1[[#This Row],[SEXO]]="Masculino",0,1)</f>
        <v>1</v>
      </c>
      <c r="G156" s="1">
        <f>VLOOKUP(C156,Tabla1[[id]:[DISTRITO ]],6,FALSE)</f>
        <v>27</v>
      </c>
      <c r="H156" s="1">
        <f>VLOOKUP(Tabla1[[#This Row],[PACTO POR EL QUE FUE ELECTO]],ref!$A$2:$B$8,2,FALSE)</f>
        <v>2</v>
      </c>
      <c r="I156" s="1">
        <f>IF(Tabla1[[#This Row],[CAMBIO DE PACTO DURANTE CONVENCIÓN]]="",0,1)</f>
        <v>0</v>
      </c>
      <c r="J156" s="1">
        <f>IF(Tabla1[[#This Row],[PUEBLO ORIGINARIO]]="",0,1)</f>
        <v>0</v>
      </c>
      <c r="K156" s="1">
        <f>VLOOKUP(Tabla1[[#This Row],[LISTA EN LA CONVENCIÓN]],ref!A$11:B$21,2,FALSE)</f>
        <v>4</v>
      </c>
      <c r="L156" s="1">
        <v>0</v>
      </c>
      <c r="M156" s="1">
        <f>VLOOKUP(C156,inp_ip_mp!$B$2:$C$156,2,FALSE)</f>
        <v>2</v>
      </c>
    </row>
  </sheetData>
  <autoFilter ref="A1:L156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abSelected="1" workbookViewId="0">
      <selection activeCell="H2" sqref="H2"/>
    </sheetView>
  </sheetViews>
  <sheetFormatPr defaultRowHeight="15.5" x14ac:dyDescent="0.35"/>
  <cols>
    <col min="1" max="1" width="51.33203125" bestFit="1" customWidth="1"/>
    <col min="2" max="4" width="14.25" bestFit="1" customWidth="1"/>
    <col min="7" max="7" width="14.83203125" bestFit="1" customWidth="1"/>
    <col min="8" max="8" width="14.25" bestFit="1" customWidth="1"/>
  </cols>
  <sheetData>
    <row r="1" spans="1:9" x14ac:dyDescent="0.35">
      <c r="A1" s="46" t="s">
        <v>770</v>
      </c>
      <c r="G1" s="46" t="s">
        <v>771</v>
      </c>
      <c r="H1" s="50" t="s">
        <v>772</v>
      </c>
      <c r="I1" s="50" t="s">
        <v>769</v>
      </c>
    </row>
    <row r="2" spans="1:9" x14ac:dyDescent="0.35">
      <c r="A2" t="s">
        <v>54</v>
      </c>
      <c r="B2" t="s">
        <v>745</v>
      </c>
      <c r="C2" t="s">
        <v>596</v>
      </c>
      <c r="D2" t="s">
        <v>746</v>
      </c>
      <c r="G2" s="1">
        <f>IF(B2="INDEPENDIENTE",0,1)</f>
        <v>1</v>
      </c>
      <c r="H2" s="1" t="s">
        <v>1649</v>
      </c>
      <c r="I2" s="50">
        <f>IF(H2=0,0,G2)</f>
        <v>1</v>
      </c>
    </row>
    <row r="3" spans="1:9" x14ac:dyDescent="0.35">
      <c r="A3" t="s">
        <v>86</v>
      </c>
      <c r="B3" t="s">
        <v>747</v>
      </c>
      <c r="C3" t="s">
        <v>748</v>
      </c>
      <c r="G3" s="1">
        <f t="shared" ref="G3:G27" si="0">IF(B3="INDEPENDIENTE",0,1)</f>
        <v>1</v>
      </c>
      <c r="H3" s="1" t="s">
        <v>774</v>
      </c>
      <c r="I3" s="50">
        <f>IF(H3=0,0,G2+G3)</f>
        <v>2</v>
      </c>
    </row>
    <row r="4" spans="1:9" x14ac:dyDescent="0.35">
      <c r="A4" t="s">
        <v>117</v>
      </c>
      <c r="B4" t="s">
        <v>749</v>
      </c>
      <c r="C4" t="s">
        <v>750</v>
      </c>
      <c r="G4" s="1">
        <f t="shared" si="0"/>
        <v>1</v>
      </c>
      <c r="H4" s="1" t="s">
        <v>775</v>
      </c>
      <c r="I4" s="50">
        <f>IF(H4=0,0,G2+G3+G4)</f>
        <v>3</v>
      </c>
    </row>
    <row r="5" spans="1:9" x14ac:dyDescent="0.35">
      <c r="A5" t="s">
        <v>120</v>
      </c>
      <c r="B5" t="s">
        <v>751</v>
      </c>
      <c r="C5" t="s">
        <v>752</v>
      </c>
      <c r="G5" s="1">
        <f t="shared" si="0"/>
        <v>1</v>
      </c>
      <c r="H5" s="1" t="s">
        <v>776</v>
      </c>
      <c r="I5" s="50">
        <f>IF(H5=0,0,G2+G3+G4+G5)</f>
        <v>4</v>
      </c>
    </row>
    <row r="6" spans="1:9" x14ac:dyDescent="0.35">
      <c r="A6" t="s">
        <v>128</v>
      </c>
      <c r="B6" t="s">
        <v>753</v>
      </c>
      <c r="C6" t="s">
        <v>754</v>
      </c>
      <c r="D6" t="s">
        <v>755</v>
      </c>
      <c r="E6" t="s">
        <v>748</v>
      </c>
      <c r="G6" s="1">
        <f t="shared" si="0"/>
        <v>1</v>
      </c>
      <c r="H6" s="1" t="s">
        <v>777</v>
      </c>
      <c r="I6" s="50">
        <f>IF(H6=0,0,G2+G3+G4+G5+G6)</f>
        <v>5</v>
      </c>
    </row>
    <row r="7" spans="1:9" x14ac:dyDescent="0.35">
      <c r="A7" t="s">
        <v>16</v>
      </c>
      <c r="B7" t="s">
        <v>16</v>
      </c>
      <c r="G7" s="1">
        <f t="shared" si="0"/>
        <v>0</v>
      </c>
      <c r="H7" s="1" t="s">
        <v>16</v>
      </c>
      <c r="I7" s="50">
        <f>IF(H7=0,0,G7)</f>
        <v>0</v>
      </c>
    </row>
    <row r="8" spans="1:9" x14ac:dyDescent="0.35">
      <c r="A8" t="s">
        <v>74</v>
      </c>
      <c r="B8" t="s">
        <v>16</v>
      </c>
      <c r="C8" t="s">
        <v>756</v>
      </c>
      <c r="G8" s="1">
        <f t="shared" si="0"/>
        <v>0</v>
      </c>
      <c r="H8" s="1" t="s">
        <v>16</v>
      </c>
      <c r="I8" s="50">
        <v>99</v>
      </c>
    </row>
    <row r="9" spans="1:9" x14ac:dyDescent="0.35">
      <c r="A9" t="s">
        <v>218</v>
      </c>
      <c r="B9" t="s">
        <v>16</v>
      </c>
      <c r="C9" t="s">
        <v>745</v>
      </c>
      <c r="D9" t="s">
        <v>596</v>
      </c>
      <c r="E9" t="s">
        <v>746</v>
      </c>
      <c r="G9" s="1">
        <f t="shared" si="0"/>
        <v>0</v>
      </c>
      <c r="H9" s="1" t="s">
        <v>16</v>
      </c>
      <c r="I9" s="50">
        <v>98</v>
      </c>
    </row>
    <row r="10" spans="1:9" x14ac:dyDescent="0.35">
      <c r="A10" t="s">
        <v>92</v>
      </c>
      <c r="B10" t="s">
        <v>16</v>
      </c>
      <c r="C10" t="s">
        <v>747</v>
      </c>
      <c r="D10" t="s">
        <v>748</v>
      </c>
      <c r="G10" s="1">
        <f t="shared" si="0"/>
        <v>0</v>
      </c>
      <c r="H10" s="1" t="s">
        <v>16</v>
      </c>
      <c r="I10" s="50">
        <f t="shared" ref="I10" si="1">IF(H10=0,0,G7+G8+G9+G10)</f>
        <v>0</v>
      </c>
    </row>
    <row r="11" spans="1:9" x14ac:dyDescent="0.35">
      <c r="A11" t="s">
        <v>80</v>
      </c>
      <c r="B11" t="s">
        <v>16</v>
      </c>
      <c r="C11" t="s">
        <v>749</v>
      </c>
      <c r="D11" t="s">
        <v>750</v>
      </c>
      <c r="G11" s="1">
        <f t="shared" si="0"/>
        <v>0</v>
      </c>
      <c r="H11" s="1" t="s">
        <v>16</v>
      </c>
      <c r="I11" s="50">
        <f t="shared" ref="I11" si="2">IF(H11=0,0,G7+G8+G9+G10+G11)</f>
        <v>0</v>
      </c>
    </row>
    <row r="12" spans="1:9" x14ac:dyDescent="0.35">
      <c r="A12" t="s">
        <v>51</v>
      </c>
      <c r="B12" t="s">
        <v>16</v>
      </c>
      <c r="C12" t="s">
        <v>751</v>
      </c>
      <c r="D12" t="s">
        <v>752</v>
      </c>
      <c r="G12" s="1">
        <f t="shared" si="0"/>
        <v>0</v>
      </c>
      <c r="H12" s="1" t="s">
        <v>16</v>
      </c>
      <c r="I12" s="50">
        <f t="shared" ref="I12" si="3">IF(H12=0,0,G12)</f>
        <v>0</v>
      </c>
    </row>
    <row r="13" spans="1:9" x14ac:dyDescent="0.35">
      <c r="A13" t="s">
        <v>199</v>
      </c>
      <c r="B13" t="s">
        <v>16</v>
      </c>
      <c r="C13" t="s">
        <v>753</v>
      </c>
      <c r="D13" t="s">
        <v>754</v>
      </c>
      <c r="E13" t="s">
        <v>755</v>
      </c>
      <c r="F13" t="s">
        <v>748</v>
      </c>
      <c r="G13" s="1">
        <f t="shared" si="0"/>
        <v>0</v>
      </c>
      <c r="H13" s="1" t="s">
        <v>16</v>
      </c>
      <c r="I13" s="50">
        <f t="shared" ref="I13" si="4">IF(H13=0,0,G12+G13)</f>
        <v>0</v>
      </c>
    </row>
    <row r="14" spans="1:9" x14ac:dyDescent="0.35">
      <c r="A14" t="s">
        <v>163</v>
      </c>
      <c r="B14" t="s">
        <v>16</v>
      </c>
      <c r="C14" t="s">
        <v>757</v>
      </c>
      <c r="G14" s="1">
        <f t="shared" si="0"/>
        <v>0</v>
      </c>
      <c r="H14" s="1" t="s">
        <v>16</v>
      </c>
      <c r="I14" s="50">
        <f t="shared" ref="I14" si="5">IF(H14=0,0,G12+G13+G14)</f>
        <v>0</v>
      </c>
    </row>
    <row r="15" spans="1:9" x14ac:dyDescent="0.35">
      <c r="A15" t="s">
        <v>24</v>
      </c>
      <c r="B15" t="s">
        <v>16</v>
      </c>
      <c r="C15" t="s">
        <v>758</v>
      </c>
      <c r="D15" t="s">
        <v>596</v>
      </c>
      <c r="E15" t="s">
        <v>746</v>
      </c>
      <c r="G15" s="1">
        <f t="shared" si="0"/>
        <v>0</v>
      </c>
      <c r="H15" s="1" t="s">
        <v>16</v>
      </c>
      <c r="I15" s="50">
        <f t="shared" ref="I15" si="6">IF(H15=0,0,G12+G13+G14+G15)</f>
        <v>0</v>
      </c>
    </row>
    <row r="16" spans="1:9" x14ac:dyDescent="0.35">
      <c r="A16" t="s">
        <v>158</v>
      </c>
      <c r="B16" t="s">
        <v>16</v>
      </c>
      <c r="C16" t="s">
        <v>759</v>
      </c>
      <c r="D16" t="s">
        <v>597</v>
      </c>
      <c r="E16" t="s">
        <v>760</v>
      </c>
      <c r="G16" s="1">
        <f t="shared" si="0"/>
        <v>0</v>
      </c>
      <c r="H16" s="1" t="s">
        <v>16</v>
      </c>
      <c r="I16" s="50">
        <f t="shared" ref="I16" si="7">IF(H16=0,0,G12+G13+G14+G15+G16)</f>
        <v>0</v>
      </c>
    </row>
    <row r="17" spans="1:9" x14ac:dyDescent="0.35">
      <c r="A17" t="s">
        <v>65</v>
      </c>
      <c r="B17" t="s">
        <v>16</v>
      </c>
      <c r="C17" t="s">
        <v>761</v>
      </c>
      <c r="D17" t="s">
        <v>596</v>
      </c>
      <c r="E17" t="s">
        <v>746</v>
      </c>
      <c r="G17" s="1">
        <f t="shared" si="0"/>
        <v>0</v>
      </c>
      <c r="H17" s="1" t="s">
        <v>16</v>
      </c>
      <c r="I17" s="50">
        <f t="shared" ref="I17" si="8">IF(H17=0,0,G17)</f>
        <v>0</v>
      </c>
    </row>
    <row r="18" spans="1:9" x14ac:dyDescent="0.35">
      <c r="A18" t="s">
        <v>195</v>
      </c>
      <c r="B18" t="s">
        <v>16</v>
      </c>
      <c r="C18" t="s">
        <v>762</v>
      </c>
      <c r="D18" t="s">
        <v>596</v>
      </c>
      <c r="E18" t="s">
        <v>746</v>
      </c>
      <c r="G18" s="1">
        <f t="shared" si="0"/>
        <v>0</v>
      </c>
      <c r="H18" s="1" t="s">
        <v>16</v>
      </c>
      <c r="I18" s="50">
        <f t="shared" ref="I18" si="9">IF(H18=0,0,G17+G18)</f>
        <v>0</v>
      </c>
    </row>
    <row r="19" spans="1:9" x14ac:dyDescent="0.35">
      <c r="A19" t="s">
        <v>62</v>
      </c>
      <c r="B19" t="s">
        <v>16</v>
      </c>
      <c r="C19" t="s">
        <v>763</v>
      </c>
      <c r="D19" t="s">
        <v>764</v>
      </c>
      <c r="G19" s="1">
        <f t="shared" si="0"/>
        <v>0</v>
      </c>
      <c r="H19" s="1" t="s">
        <v>16</v>
      </c>
      <c r="I19" s="50">
        <f t="shared" ref="I19" si="10">IF(H19=0,0,G17+G18+G19)</f>
        <v>0</v>
      </c>
    </row>
    <row r="20" spans="1:9" x14ac:dyDescent="0.35">
      <c r="A20" t="s">
        <v>49</v>
      </c>
      <c r="B20" t="s">
        <v>16</v>
      </c>
      <c r="C20" t="s">
        <v>765</v>
      </c>
      <c r="D20" t="s">
        <v>766</v>
      </c>
      <c r="G20" s="1">
        <f t="shared" si="0"/>
        <v>0</v>
      </c>
      <c r="H20" s="1" t="s">
        <v>16</v>
      </c>
      <c r="I20" s="50">
        <f t="shared" ref="I20" si="11">IF(H20=0,0,G17+G18+G19+G20)</f>
        <v>0</v>
      </c>
    </row>
    <row r="21" spans="1:9" x14ac:dyDescent="0.35">
      <c r="A21" t="s">
        <v>20</v>
      </c>
      <c r="B21" t="s">
        <v>16</v>
      </c>
      <c r="C21" t="s">
        <v>767</v>
      </c>
      <c r="D21" t="s">
        <v>596</v>
      </c>
      <c r="E21" t="s">
        <v>746</v>
      </c>
      <c r="G21" s="1">
        <f t="shared" si="0"/>
        <v>0</v>
      </c>
      <c r="H21" s="1" t="s">
        <v>16</v>
      </c>
      <c r="I21" s="50">
        <f t="shared" ref="I21" si="12">IF(H21=0,0,G17+G18+G19+G20+G21)</f>
        <v>0</v>
      </c>
    </row>
    <row r="22" spans="1:9" x14ac:dyDescent="0.35">
      <c r="A22" t="s">
        <v>37</v>
      </c>
      <c r="B22" t="s">
        <v>16</v>
      </c>
      <c r="C22" t="s">
        <v>768</v>
      </c>
      <c r="D22" t="s">
        <v>749</v>
      </c>
      <c r="E22" t="s">
        <v>16</v>
      </c>
      <c r="G22" s="1">
        <f t="shared" si="0"/>
        <v>0</v>
      </c>
      <c r="H22" s="1" t="s">
        <v>16</v>
      </c>
      <c r="I22" s="50">
        <f t="shared" ref="I22" si="13">IF(H22=0,0,G22)</f>
        <v>0</v>
      </c>
    </row>
    <row r="23" spans="1:9" x14ac:dyDescent="0.35">
      <c r="A23" t="s">
        <v>98</v>
      </c>
      <c r="B23" t="s">
        <v>759</v>
      </c>
      <c r="C23" t="s">
        <v>597</v>
      </c>
      <c r="D23" t="s">
        <v>760</v>
      </c>
      <c r="G23" s="1">
        <f t="shared" si="0"/>
        <v>1</v>
      </c>
      <c r="H23" s="1" t="s">
        <v>778</v>
      </c>
      <c r="I23" s="50">
        <f>IF(H23=0,0,SUM(G2:G23))</f>
        <v>6</v>
      </c>
    </row>
    <row r="24" spans="1:9" x14ac:dyDescent="0.35">
      <c r="A24" t="s">
        <v>40</v>
      </c>
      <c r="B24" t="s">
        <v>763</v>
      </c>
      <c r="C24" t="s">
        <v>764</v>
      </c>
      <c r="G24" s="1">
        <f t="shared" si="0"/>
        <v>1</v>
      </c>
      <c r="H24" s="1" t="s">
        <v>779</v>
      </c>
      <c r="I24" s="50">
        <f>IF(H24=0,0,SUM(G2:G24))</f>
        <v>7</v>
      </c>
    </row>
    <row r="25" spans="1:9" x14ac:dyDescent="0.35">
      <c r="A25" t="s">
        <v>45</v>
      </c>
      <c r="B25" t="s">
        <v>765</v>
      </c>
      <c r="C25" t="s">
        <v>766</v>
      </c>
      <c r="G25" s="1">
        <f t="shared" si="0"/>
        <v>1</v>
      </c>
      <c r="H25" s="1" t="s">
        <v>780</v>
      </c>
      <c r="I25" s="50">
        <f>IF(H25=0,0,SUM(G2:G25))</f>
        <v>8</v>
      </c>
    </row>
    <row r="26" spans="1:9" x14ac:dyDescent="0.35">
      <c r="A26" t="s">
        <v>77</v>
      </c>
      <c r="B26" t="s">
        <v>767</v>
      </c>
      <c r="C26" t="s">
        <v>596</v>
      </c>
      <c r="D26" t="s">
        <v>746</v>
      </c>
      <c r="G26" s="1">
        <f t="shared" si="0"/>
        <v>1</v>
      </c>
      <c r="H26" s="1" t="s">
        <v>784</v>
      </c>
      <c r="I26" s="50">
        <f>IF(H26=0,0,SUM(G2:G26))</f>
        <v>9</v>
      </c>
    </row>
    <row r="27" spans="1:9" x14ac:dyDescent="0.35">
      <c r="A27" t="s">
        <v>70</v>
      </c>
      <c r="B27" t="s">
        <v>768</v>
      </c>
      <c r="C27" t="s">
        <v>749</v>
      </c>
      <c r="D27" t="s">
        <v>16</v>
      </c>
      <c r="G27" s="1">
        <f t="shared" si="0"/>
        <v>1</v>
      </c>
      <c r="H27" s="1" t="s">
        <v>781</v>
      </c>
      <c r="I27" s="50">
        <f>IF(H27=0,0,SUM(G2:G27))</f>
        <v>10</v>
      </c>
    </row>
    <row r="28" spans="1:9" x14ac:dyDescent="0.35">
      <c r="A28" t="s">
        <v>1647</v>
      </c>
      <c r="G28" s="2">
        <v>0</v>
      </c>
      <c r="H28" s="1" t="s">
        <v>1647</v>
      </c>
      <c r="I28" s="50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>
      <selection activeCell="C10" sqref="C10"/>
    </sheetView>
  </sheetViews>
  <sheetFormatPr defaultRowHeight="15.5" x14ac:dyDescent="0.35"/>
  <cols>
    <col min="1" max="1" width="30.83203125" bestFit="1" customWidth="1"/>
    <col min="2" max="2" width="13.25" bestFit="1" customWidth="1"/>
  </cols>
  <sheetData>
    <row r="1" spans="1:2" x14ac:dyDescent="0.35">
      <c r="A1" s="53" t="s">
        <v>738</v>
      </c>
      <c r="B1" s="53" t="s">
        <v>739</v>
      </c>
    </row>
    <row r="2" spans="1:2" x14ac:dyDescent="0.35">
      <c r="A2" s="51" t="s">
        <v>18</v>
      </c>
      <c r="B2" s="52">
        <v>1</v>
      </c>
    </row>
    <row r="3" spans="1:2" x14ac:dyDescent="0.35">
      <c r="A3" s="51" t="s">
        <v>43</v>
      </c>
      <c r="B3" s="52">
        <v>2</v>
      </c>
    </row>
    <row r="4" spans="1:2" x14ac:dyDescent="0.35">
      <c r="A4" s="51" t="s">
        <v>14</v>
      </c>
      <c r="B4" s="52">
        <v>3</v>
      </c>
    </row>
    <row r="5" spans="1:2" x14ac:dyDescent="0.35">
      <c r="A5" s="51" t="s">
        <v>58</v>
      </c>
      <c r="B5" s="52">
        <v>4</v>
      </c>
    </row>
    <row r="6" spans="1:2" x14ac:dyDescent="0.35">
      <c r="A6" s="51" t="s">
        <v>27</v>
      </c>
      <c r="B6" s="52">
        <v>5</v>
      </c>
    </row>
    <row r="7" spans="1:2" x14ac:dyDescent="0.35">
      <c r="A7" s="51" t="s">
        <v>8</v>
      </c>
      <c r="B7" s="52">
        <v>6</v>
      </c>
    </row>
    <row r="8" spans="1:2" x14ac:dyDescent="0.35">
      <c r="A8" s="51" t="s">
        <v>35</v>
      </c>
      <c r="B8" s="52">
        <v>7</v>
      </c>
    </row>
    <row r="10" spans="1:2" x14ac:dyDescent="0.35">
      <c r="A10" s="53" t="s">
        <v>744</v>
      </c>
      <c r="B10" s="53" t="s">
        <v>782</v>
      </c>
    </row>
    <row r="11" spans="1:2" x14ac:dyDescent="0.35">
      <c r="A11" s="52" t="s">
        <v>53</v>
      </c>
      <c r="B11" s="52">
        <v>1</v>
      </c>
    </row>
    <row r="12" spans="1:2" x14ac:dyDescent="0.35">
      <c r="A12" s="52" t="s">
        <v>23</v>
      </c>
      <c r="B12" s="52">
        <v>2</v>
      </c>
    </row>
    <row r="13" spans="1:2" x14ac:dyDescent="0.35">
      <c r="A13" s="52" t="s">
        <v>19</v>
      </c>
      <c r="B13" s="52">
        <v>3</v>
      </c>
    </row>
    <row r="14" spans="1:2" x14ac:dyDescent="0.35">
      <c r="A14" s="52" t="s">
        <v>44</v>
      </c>
      <c r="B14" s="52">
        <v>4</v>
      </c>
    </row>
    <row r="15" spans="1:2" x14ac:dyDescent="0.35">
      <c r="A15" s="52" t="s">
        <v>31</v>
      </c>
      <c r="B15" s="52">
        <v>5</v>
      </c>
    </row>
    <row r="16" spans="1:2" x14ac:dyDescent="0.35">
      <c r="A16" s="52" t="s">
        <v>28</v>
      </c>
      <c r="B16" s="52">
        <v>6</v>
      </c>
    </row>
    <row r="17" spans="1:2" x14ac:dyDescent="0.35">
      <c r="A17" s="52" t="s">
        <v>59</v>
      </c>
      <c r="B17" s="52">
        <v>7</v>
      </c>
    </row>
    <row r="18" spans="1:2" x14ac:dyDescent="0.35">
      <c r="A18" s="52" t="s">
        <v>15</v>
      </c>
      <c r="B18" s="52">
        <v>8</v>
      </c>
    </row>
    <row r="19" spans="1:2" x14ac:dyDescent="0.35">
      <c r="A19" s="52" t="s">
        <v>67</v>
      </c>
      <c r="B19" s="52">
        <v>9</v>
      </c>
    </row>
    <row r="20" spans="1:2" x14ac:dyDescent="0.35">
      <c r="A20" s="52" t="s">
        <v>10</v>
      </c>
      <c r="B20" s="52">
        <v>10</v>
      </c>
    </row>
    <row r="21" spans="1:2" x14ac:dyDescent="0.35">
      <c r="A21" s="52" t="s">
        <v>36</v>
      </c>
      <c r="B21" s="52">
        <v>11</v>
      </c>
    </row>
    <row r="23" spans="1:2" x14ac:dyDescent="0.35">
      <c r="A23" s="53" t="s">
        <v>4</v>
      </c>
      <c r="B23" s="53" t="s">
        <v>783</v>
      </c>
    </row>
    <row r="24" spans="1:2" x14ac:dyDescent="0.35">
      <c r="A24" s="52" t="s">
        <v>136</v>
      </c>
      <c r="B24" s="52">
        <v>11</v>
      </c>
    </row>
    <row r="25" spans="1:2" x14ac:dyDescent="0.35">
      <c r="A25" s="52" t="s">
        <v>108</v>
      </c>
      <c r="B25" s="52">
        <v>12</v>
      </c>
    </row>
    <row r="26" spans="1:2" x14ac:dyDescent="0.35">
      <c r="A26" s="52" t="s">
        <v>112</v>
      </c>
      <c r="B26" s="52">
        <v>13</v>
      </c>
    </row>
    <row r="27" spans="1:2" x14ac:dyDescent="0.35">
      <c r="A27" s="52" t="s">
        <v>134</v>
      </c>
      <c r="B27" s="52">
        <v>14</v>
      </c>
    </row>
    <row r="28" spans="1:2" x14ac:dyDescent="0.35">
      <c r="A28" s="52" t="s">
        <v>103</v>
      </c>
      <c r="B28" s="52">
        <v>15</v>
      </c>
    </row>
    <row r="29" spans="1:2" x14ac:dyDescent="0.35">
      <c r="A29" s="52" t="s">
        <v>168</v>
      </c>
      <c r="B29" s="52">
        <v>16</v>
      </c>
    </row>
    <row r="30" spans="1:2" x14ac:dyDescent="0.35">
      <c r="A30" s="52" t="s">
        <v>9</v>
      </c>
      <c r="B30" s="52">
        <v>17</v>
      </c>
    </row>
    <row r="31" spans="1:2" x14ac:dyDescent="0.35">
      <c r="A31" s="52" t="s">
        <v>221</v>
      </c>
      <c r="B31" s="52">
        <v>18</v>
      </c>
    </row>
    <row r="32" spans="1:2" x14ac:dyDescent="0.35">
      <c r="A32" s="52" t="s">
        <v>214</v>
      </c>
      <c r="B32" s="52">
        <v>19</v>
      </c>
    </row>
    <row r="33" spans="1:2" x14ac:dyDescent="0.35">
      <c r="A33" s="52" t="s">
        <v>149</v>
      </c>
      <c r="B33" s="52">
        <v>20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D5" sqref="D5"/>
    </sheetView>
  </sheetViews>
  <sheetFormatPr defaultRowHeight="15.5" x14ac:dyDescent="0.35"/>
  <cols>
    <col min="1" max="1" width="21.58203125" bestFit="1" customWidth="1"/>
  </cols>
  <sheetData>
    <row r="1" spans="1:2" x14ac:dyDescent="0.35">
      <c r="A1" s="53" t="s">
        <v>1648</v>
      </c>
      <c r="B1" s="53" t="s">
        <v>738</v>
      </c>
    </row>
    <row r="2" spans="1:2" x14ac:dyDescent="0.35">
      <c r="A2" s="75" t="s">
        <v>18</v>
      </c>
      <c r="B2" s="52">
        <v>1</v>
      </c>
    </row>
    <row r="3" spans="1:2" x14ac:dyDescent="0.35">
      <c r="A3" s="75" t="s">
        <v>43</v>
      </c>
      <c r="B3" s="52">
        <v>2</v>
      </c>
    </row>
    <row r="4" spans="1:2" x14ac:dyDescent="0.35">
      <c r="A4" s="75" t="s">
        <v>14</v>
      </c>
      <c r="B4" s="52">
        <v>3</v>
      </c>
    </row>
    <row r="5" spans="1:2" x14ac:dyDescent="0.35">
      <c r="A5" s="75" t="s">
        <v>58</v>
      </c>
      <c r="B5" s="52">
        <v>4</v>
      </c>
    </row>
    <row r="6" spans="1:2" x14ac:dyDescent="0.35">
      <c r="A6" s="75" t="s">
        <v>27</v>
      </c>
      <c r="B6" s="52">
        <v>5</v>
      </c>
    </row>
    <row r="7" spans="1:2" x14ac:dyDescent="0.35">
      <c r="A7" s="75" t="s">
        <v>8</v>
      </c>
      <c r="B7" s="52">
        <v>6</v>
      </c>
    </row>
    <row r="8" spans="1:2" x14ac:dyDescent="0.35">
      <c r="A8" s="75" t="s">
        <v>35</v>
      </c>
      <c r="B8" s="52">
        <v>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1"/>
  <dimension ref="A1:P156"/>
  <sheetViews>
    <sheetView workbookViewId="0">
      <pane xSplit="1" topLeftCell="J1" activePane="topRight" state="frozen"/>
      <selection pane="topRight" activeCell="K1" sqref="K1"/>
    </sheetView>
  </sheetViews>
  <sheetFormatPr defaultColWidth="11" defaultRowHeight="15.5" x14ac:dyDescent="0.35"/>
  <cols>
    <col min="1" max="1" width="60" customWidth="1"/>
    <col min="2" max="3" width="28.5" style="50" customWidth="1"/>
    <col min="4" max="4" width="22.83203125" style="2" customWidth="1"/>
    <col min="5" max="5" width="8" style="2" customWidth="1"/>
    <col min="6" max="6" width="9.5" bestFit="1" customWidth="1"/>
    <col min="7" max="7" width="11.58203125" style="2" customWidth="1"/>
    <col min="8" max="8" width="20.83203125" bestFit="1" customWidth="1"/>
    <col min="9" max="9" width="37.33203125" customWidth="1"/>
    <col min="10" max="10" width="33.58203125" bestFit="1" customWidth="1"/>
    <col min="11" max="11" width="49.5" customWidth="1"/>
    <col min="12" max="12" width="50.83203125" customWidth="1"/>
    <col min="13" max="13" width="87.33203125" customWidth="1"/>
    <col min="14" max="14" width="28.33203125" customWidth="1"/>
    <col min="15" max="15" width="33.33203125" customWidth="1"/>
    <col min="16" max="16" width="37.25" bestFit="1" customWidth="1"/>
  </cols>
  <sheetData>
    <row r="1" spans="1:16" s="1" customFormat="1" ht="48" customHeight="1" x14ac:dyDescent="0.35">
      <c r="A1" s="5" t="s">
        <v>546</v>
      </c>
      <c r="B1" s="48" t="s">
        <v>606</v>
      </c>
      <c r="C1" s="48" t="s">
        <v>584</v>
      </c>
      <c r="D1" s="6" t="s">
        <v>0</v>
      </c>
      <c r="E1" s="5" t="s">
        <v>1</v>
      </c>
      <c r="F1" s="5" t="s">
        <v>2</v>
      </c>
      <c r="G1" s="5" t="s">
        <v>3</v>
      </c>
      <c r="H1" s="6" t="s">
        <v>376</v>
      </c>
      <c r="I1" s="6" t="s">
        <v>575</v>
      </c>
      <c r="J1" s="6" t="s">
        <v>4</v>
      </c>
      <c r="K1" s="5" t="s">
        <v>377</v>
      </c>
      <c r="L1" s="5" t="s">
        <v>545</v>
      </c>
      <c r="M1" s="5" t="s">
        <v>568</v>
      </c>
      <c r="N1" s="5" t="s">
        <v>5</v>
      </c>
      <c r="O1" s="5" t="s">
        <v>562</v>
      </c>
      <c r="P1" s="5" t="s">
        <v>560</v>
      </c>
    </row>
    <row r="2" spans="1:16" x14ac:dyDescent="0.35">
      <c r="A2" s="4" t="s">
        <v>223</v>
      </c>
      <c r="B2" s="48">
        <f>VLOOKUP(Tabla1[[#This Row],[NOMBRE CONVENCIONAL CONSTITUYENTE]],all!$A$2:$B$156,2,FALSE)</f>
        <v>1</v>
      </c>
      <c r="C2" s="48" t="str">
        <f>VLOOKUP(Tabla1[[#This Row],[id]],apellido_nombre!$J$2:$K$155,2,FALSE)</f>
        <v>Millabur, Adolfo</v>
      </c>
      <c r="D2" s="7" t="s">
        <v>6</v>
      </c>
      <c r="E2" s="7">
        <v>55</v>
      </c>
      <c r="F2" s="4" t="s">
        <v>7</v>
      </c>
      <c r="G2" s="7">
        <v>29</v>
      </c>
      <c r="H2" s="4" t="s">
        <v>8</v>
      </c>
      <c r="I2" s="4"/>
      <c r="J2" s="4" t="s">
        <v>9</v>
      </c>
      <c r="K2" s="4" t="s">
        <v>10</v>
      </c>
      <c r="L2" s="4"/>
      <c r="M2" s="4" t="s">
        <v>574</v>
      </c>
      <c r="N2" s="4" t="s">
        <v>11</v>
      </c>
      <c r="O2" s="4"/>
      <c r="P2" s="4" t="s">
        <v>550</v>
      </c>
    </row>
    <row r="3" spans="1:16" x14ac:dyDescent="0.35">
      <c r="A3" s="4" t="s">
        <v>224</v>
      </c>
      <c r="B3" s="48">
        <f>VLOOKUP(Tabla1[[#This Row],[NOMBRE CONVENCIONAL CONSTITUYENTE]],all!$A$2:$B$156,2,FALSE)</f>
        <v>2</v>
      </c>
      <c r="C3" s="48" t="str">
        <f>VLOOKUP(Tabla1[[#This Row],[id]],apellido_nombre!$J$2:$K$155,2,FALSE)</f>
        <v>Ampuero, Adriana</v>
      </c>
      <c r="D3" s="7" t="s">
        <v>12</v>
      </c>
      <c r="E3" s="7">
        <v>35</v>
      </c>
      <c r="F3" s="4" t="s">
        <v>13</v>
      </c>
      <c r="G3" s="7">
        <v>26</v>
      </c>
      <c r="H3" s="4" t="s">
        <v>14</v>
      </c>
      <c r="I3" s="4" t="s">
        <v>16</v>
      </c>
      <c r="J3" s="4"/>
      <c r="K3" s="4" t="s">
        <v>15</v>
      </c>
      <c r="L3" s="4" t="s">
        <v>16</v>
      </c>
      <c r="M3" s="4" t="s">
        <v>556</v>
      </c>
      <c r="N3" s="4" t="s">
        <v>11</v>
      </c>
      <c r="O3" s="4"/>
      <c r="P3" s="4" t="s">
        <v>550</v>
      </c>
    </row>
    <row r="4" spans="1:16" x14ac:dyDescent="0.35">
      <c r="A4" s="4" t="s">
        <v>225</v>
      </c>
      <c r="B4" s="48">
        <f>VLOOKUP(Tabla1[[#This Row],[NOMBRE CONVENCIONAL CONSTITUYENTE]],all!$A$2:$B$156,2,FALSE)</f>
        <v>3</v>
      </c>
      <c r="C4" s="48" t="str">
        <f>VLOOKUP(Tabla1[[#This Row],[id]],apellido_nombre!$J$2:$K$155,2,FALSE)</f>
        <v>Cancino, Adriana</v>
      </c>
      <c r="D4" s="7" t="s">
        <v>17</v>
      </c>
      <c r="E4" s="7">
        <v>59</v>
      </c>
      <c r="F4" s="4" t="s">
        <v>13</v>
      </c>
      <c r="G4" s="7">
        <v>16</v>
      </c>
      <c r="H4" s="4" t="s">
        <v>18</v>
      </c>
      <c r="I4" s="4"/>
      <c r="J4" s="4"/>
      <c r="K4" s="4" t="s">
        <v>19</v>
      </c>
      <c r="L4" s="4" t="s">
        <v>20</v>
      </c>
      <c r="M4" s="4" t="s">
        <v>563</v>
      </c>
      <c r="N4" s="4" t="s">
        <v>21</v>
      </c>
      <c r="O4" s="4"/>
      <c r="P4" s="4" t="s">
        <v>552</v>
      </c>
    </row>
    <row r="5" spans="1:16" x14ac:dyDescent="0.35">
      <c r="A5" s="4" t="s">
        <v>226</v>
      </c>
      <c r="B5" s="48">
        <f>VLOOKUP(Tabla1[[#This Row],[NOMBRE CONVENCIONAL CONSTITUYENTE]],all!$A$2:$B$156,2,FALSE)</f>
        <v>4</v>
      </c>
      <c r="C5" s="48" t="str">
        <f>VLOOKUP(Tabla1[[#This Row],[id]],apellido_nombre!$J$2:$K$155,2,FALSE)</f>
        <v>Squella, Agustín</v>
      </c>
      <c r="D5" s="7" t="s">
        <v>22</v>
      </c>
      <c r="E5" s="7">
        <v>78</v>
      </c>
      <c r="F5" s="4" t="s">
        <v>7</v>
      </c>
      <c r="G5" s="7">
        <v>7</v>
      </c>
      <c r="H5" s="4" t="s">
        <v>18</v>
      </c>
      <c r="I5" s="4"/>
      <c r="J5" s="4"/>
      <c r="K5" s="4" t="s">
        <v>23</v>
      </c>
      <c r="L5" s="4" t="s">
        <v>24</v>
      </c>
      <c r="M5" s="4" t="s">
        <v>557</v>
      </c>
      <c r="N5" s="4" t="s">
        <v>25</v>
      </c>
      <c r="O5" s="4"/>
      <c r="P5" s="4" t="s">
        <v>551</v>
      </c>
    </row>
    <row r="6" spans="1:16" x14ac:dyDescent="0.35">
      <c r="A6" s="4" t="s">
        <v>227</v>
      </c>
      <c r="B6" s="48">
        <f>VLOOKUP(Tabla1[[#This Row],[NOMBRE CONVENCIONAL CONSTITUYENTE]],all!$A$2:$B$156,2,FALSE)</f>
        <v>5</v>
      </c>
      <c r="C6" s="48" t="str">
        <f>VLOOKUP(Tabla1[[#This Row],[id]],apellido_nombre!$J$2:$K$155,2,FALSE)</f>
        <v>Flores, Alejandra</v>
      </c>
      <c r="D6" s="7" t="s">
        <v>26</v>
      </c>
      <c r="E6" s="7">
        <v>61</v>
      </c>
      <c r="F6" s="4" t="s">
        <v>13</v>
      </c>
      <c r="G6" s="7">
        <v>2</v>
      </c>
      <c r="H6" s="4" t="s">
        <v>27</v>
      </c>
      <c r="I6" s="4" t="s">
        <v>577</v>
      </c>
      <c r="J6" s="4"/>
      <c r="K6" s="4" t="s">
        <v>28</v>
      </c>
      <c r="L6" s="4" t="s">
        <v>16</v>
      </c>
      <c r="M6" s="4" t="s">
        <v>559</v>
      </c>
      <c r="N6" s="4" t="s">
        <v>29</v>
      </c>
      <c r="O6" s="4"/>
      <c r="P6" s="4" t="s">
        <v>553</v>
      </c>
    </row>
    <row r="7" spans="1:16" x14ac:dyDescent="0.35">
      <c r="A7" s="4" t="s">
        <v>228</v>
      </c>
      <c r="B7" s="48">
        <f>VLOOKUP(Tabla1[[#This Row],[NOMBRE CONVENCIONAL CONSTITUYENTE]],all!$A$2:$B$156,2,FALSE)</f>
        <v>6</v>
      </c>
      <c r="C7" s="48" t="str">
        <f>VLOOKUP(Tabla1[[#This Row],[id]],apellido_nombre!$J$2:$K$155,2,FALSE)</f>
        <v>Pérez, Alejandra</v>
      </c>
      <c r="D7" s="7" t="s">
        <v>30</v>
      </c>
      <c r="E7" s="7">
        <v>44</v>
      </c>
      <c r="F7" s="4" t="s">
        <v>13</v>
      </c>
      <c r="G7" s="7">
        <v>9</v>
      </c>
      <c r="H7" s="4" t="s">
        <v>14</v>
      </c>
      <c r="I7" s="4" t="s">
        <v>576</v>
      </c>
      <c r="J7" s="4"/>
      <c r="K7" s="4" t="s">
        <v>67</v>
      </c>
      <c r="L7" s="4" t="s">
        <v>16</v>
      </c>
      <c r="M7" s="4" t="s">
        <v>554</v>
      </c>
      <c r="N7" s="4" t="s">
        <v>29</v>
      </c>
      <c r="O7" s="4"/>
      <c r="P7" s="4" t="s">
        <v>553</v>
      </c>
    </row>
    <row r="8" spans="1:16" x14ac:dyDescent="0.35">
      <c r="A8" s="4" t="s">
        <v>229</v>
      </c>
      <c r="B8" s="48">
        <f>VLOOKUP(Tabla1[[#This Row],[NOMBRE CONVENCIONAL CONSTITUYENTE]],all!$A$2:$B$156,2,FALSE)</f>
        <v>7</v>
      </c>
      <c r="C8" s="48" t="str">
        <f>VLOOKUP(Tabla1[[#This Row],[id]],apellido_nombre!$J$2:$K$155,2,FALSE)</f>
        <v>Caiguan, Alexis</v>
      </c>
      <c r="D8" s="7" t="s">
        <v>32</v>
      </c>
      <c r="E8" s="7">
        <v>46</v>
      </c>
      <c r="F8" s="4" t="s">
        <v>7</v>
      </c>
      <c r="G8" s="7">
        <v>29</v>
      </c>
      <c r="H8" s="4" t="s">
        <v>8</v>
      </c>
      <c r="I8" s="4"/>
      <c r="J8" s="4" t="s">
        <v>9</v>
      </c>
      <c r="K8" s="4" t="s">
        <v>10</v>
      </c>
      <c r="L8" s="4"/>
      <c r="M8" s="4" t="s">
        <v>554</v>
      </c>
      <c r="N8" s="4" t="s">
        <v>33</v>
      </c>
      <c r="O8" s="4"/>
      <c r="P8" s="4" t="s">
        <v>550</v>
      </c>
    </row>
    <row r="9" spans="1:16" x14ac:dyDescent="0.35">
      <c r="A9" s="4" t="s">
        <v>230</v>
      </c>
      <c r="B9" s="48">
        <f>VLOOKUP(Tabla1[[#This Row],[NOMBRE CONVENCIONAL CONSTITUYENTE]],all!$A$2:$B$156,2,FALSE)</f>
        <v>8</v>
      </c>
      <c r="C9" s="48" t="str">
        <f>VLOOKUP(Tabla1[[#This Row],[id]],apellido_nombre!$J$2:$K$155,2,FALSE)</f>
        <v>Moreno, Alfredo</v>
      </c>
      <c r="D9" s="7" t="s">
        <v>34</v>
      </c>
      <c r="E9" s="7">
        <v>40</v>
      </c>
      <c r="F9" s="4" t="s">
        <v>7</v>
      </c>
      <c r="G9" s="7">
        <v>17</v>
      </c>
      <c r="H9" s="4" t="s">
        <v>35</v>
      </c>
      <c r="I9" s="4"/>
      <c r="J9" s="4"/>
      <c r="K9" s="4" t="s">
        <v>36</v>
      </c>
      <c r="L9" s="4" t="s">
        <v>37</v>
      </c>
      <c r="M9" s="4" t="s">
        <v>555</v>
      </c>
      <c r="N9" s="4" t="s">
        <v>21</v>
      </c>
      <c r="O9" s="4"/>
      <c r="P9" s="4" t="s">
        <v>553</v>
      </c>
    </row>
    <row r="10" spans="1:16" x14ac:dyDescent="0.35">
      <c r="A10" s="4" t="s">
        <v>231</v>
      </c>
      <c r="B10" s="48">
        <f>VLOOKUP(Tabla1[[#This Row],[NOMBRE CONVENCIONAL CONSTITUYENTE]],all!$A$2:$B$156,2,FALSE)</f>
        <v>9</v>
      </c>
      <c r="C10" s="48" t="str">
        <f>VLOOKUP(Tabla1[[#This Row],[id]],apellido_nombre!$J$2:$K$155,2,FALSE)</f>
        <v>Carrillo, Alondra</v>
      </c>
      <c r="D10" s="7" t="s">
        <v>38</v>
      </c>
      <c r="E10" s="7">
        <v>31</v>
      </c>
      <c r="F10" s="4" t="s">
        <v>13</v>
      </c>
      <c r="G10" s="7">
        <v>12</v>
      </c>
      <c r="H10" s="4" t="s">
        <v>27</v>
      </c>
      <c r="I10" s="4" t="s">
        <v>577</v>
      </c>
      <c r="J10" s="4"/>
      <c r="K10" s="4" t="s">
        <v>28</v>
      </c>
      <c r="L10" s="4" t="s">
        <v>16</v>
      </c>
      <c r="M10" s="4" t="s">
        <v>557</v>
      </c>
      <c r="N10" s="4" t="s">
        <v>29</v>
      </c>
      <c r="O10" s="4"/>
      <c r="P10" s="4" t="s">
        <v>551</v>
      </c>
    </row>
    <row r="11" spans="1:16" x14ac:dyDescent="0.35">
      <c r="A11" s="4" t="s">
        <v>232</v>
      </c>
      <c r="B11" s="48">
        <f>VLOOKUP(Tabla1[[#This Row],[NOMBRE CONVENCIONAL CONSTITUYENTE]],all!$A$2:$B$156,2,FALSE)</f>
        <v>10</v>
      </c>
      <c r="C11" s="48" t="str">
        <f>VLOOKUP(Tabla1[[#This Row],[id]],apellido_nombre!$J$2:$K$155,2,FALSE)</f>
        <v>Jofré, Alvaro</v>
      </c>
      <c r="D11" s="7" t="s">
        <v>39</v>
      </c>
      <c r="E11" s="7">
        <v>50</v>
      </c>
      <c r="F11" s="4" t="s">
        <v>7</v>
      </c>
      <c r="G11" s="7">
        <v>2</v>
      </c>
      <c r="H11" s="4" t="s">
        <v>35</v>
      </c>
      <c r="I11" s="4"/>
      <c r="J11" s="4"/>
      <c r="K11" s="4" t="s">
        <v>36</v>
      </c>
      <c r="L11" s="4" t="s">
        <v>40</v>
      </c>
      <c r="M11" s="4" t="s">
        <v>556</v>
      </c>
      <c r="N11" s="4" t="s">
        <v>11</v>
      </c>
      <c r="O11" s="4"/>
      <c r="P11" s="4" t="s">
        <v>553</v>
      </c>
    </row>
    <row r="12" spans="1:16" x14ac:dyDescent="0.35">
      <c r="A12" s="4" t="s">
        <v>233</v>
      </c>
      <c r="B12" s="48">
        <f>VLOOKUP(Tabla1[[#This Row],[NOMBRE CONVENCIONAL CONSTITUYENTE]],all!$A$2:$B$156,2,FALSE)</f>
        <v>11</v>
      </c>
      <c r="C12" s="48" t="str">
        <f>VLOOKUP(Tabla1[[#This Row],[id]],apellido_nombre!$J$2:$K$155,2,FALSE)</f>
        <v>Saldaña, Alvin</v>
      </c>
      <c r="D12" s="7" t="s">
        <v>41</v>
      </c>
      <c r="E12" s="7">
        <v>45</v>
      </c>
      <c r="F12" s="4" t="s">
        <v>7</v>
      </c>
      <c r="G12" s="7">
        <v>15</v>
      </c>
      <c r="H12" s="4" t="s">
        <v>27</v>
      </c>
      <c r="I12" s="4" t="s">
        <v>577</v>
      </c>
      <c r="J12" s="4"/>
      <c r="K12" s="4" t="s">
        <v>28</v>
      </c>
      <c r="L12" s="4" t="s">
        <v>16</v>
      </c>
      <c r="M12" s="4" t="s">
        <v>555</v>
      </c>
      <c r="N12" s="4" t="s">
        <v>25</v>
      </c>
      <c r="O12" s="4"/>
      <c r="P12" s="4" t="s">
        <v>553</v>
      </c>
    </row>
    <row r="13" spans="1:16" x14ac:dyDescent="0.35">
      <c r="A13" s="4" t="s">
        <v>234</v>
      </c>
      <c r="B13" s="48">
        <f>VLOOKUP(Tabla1[[#This Row],[NOMBRE CONVENCIONAL CONSTITUYENTE]],all!$A$2:$B$156,2,FALSE)</f>
        <v>12</v>
      </c>
      <c r="C13" s="48" t="str">
        <f>VLOOKUP(Tabla1[[#This Row],[id]],apellido_nombre!$J$2:$K$155,2,FALSE)</f>
        <v>Alvez, Amaya</v>
      </c>
      <c r="D13" s="7" t="s">
        <v>42</v>
      </c>
      <c r="E13" s="7">
        <v>51</v>
      </c>
      <c r="F13" s="4" t="s">
        <v>13</v>
      </c>
      <c r="G13" s="7">
        <v>20</v>
      </c>
      <c r="H13" s="4" t="s">
        <v>43</v>
      </c>
      <c r="I13" s="4"/>
      <c r="J13" s="4"/>
      <c r="K13" s="4" t="s">
        <v>44</v>
      </c>
      <c r="L13" s="4" t="s">
        <v>45</v>
      </c>
      <c r="M13" s="4" t="s">
        <v>557</v>
      </c>
      <c r="N13" s="4" t="s">
        <v>11</v>
      </c>
      <c r="O13" s="4"/>
      <c r="P13" s="4" t="s">
        <v>551</v>
      </c>
    </row>
    <row r="14" spans="1:16" x14ac:dyDescent="0.35">
      <c r="A14" s="4" t="s">
        <v>235</v>
      </c>
      <c r="B14" s="48">
        <f>VLOOKUP(Tabla1[[#This Row],[NOMBRE CONVENCIONAL CONSTITUYENTE]],all!$A$2:$B$156,2,FALSE)</f>
        <v>13</v>
      </c>
      <c r="C14" s="48" t="str">
        <f>VLOOKUP(Tabla1[[#This Row],[id]],apellido_nombre!$J$2:$K$155,2,FALSE)</f>
        <v>Cruz, Andrés</v>
      </c>
      <c r="D14" s="7" t="s">
        <v>46</v>
      </c>
      <c r="E14" s="7">
        <v>48</v>
      </c>
      <c r="F14" s="4" t="s">
        <v>7</v>
      </c>
      <c r="G14" s="7">
        <v>20</v>
      </c>
      <c r="H14" s="4" t="s">
        <v>18</v>
      </c>
      <c r="I14" s="4"/>
      <c r="J14" s="4"/>
      <c r="K14" s="4" t="s">
        <v>19</v>
      </c>
      <c r="L14" s="4" t="s">
        <v>20</v>
      </c>
      <c r="M14" s="4" t="s">
        <v>558</v>
      </c>
      <c r="N14" s="4" t="s">
        <v>47</v>
      </c>
      <c r="O14" s="4"/>
      <c r="P14" s="4" t="s">
        <v>551</v>
      </c>
    </row>
    <row r="15" spans="1:16" x14ac:dyDescent="0.35">
      <c r="A15" s="4" t="s">
        <v>236</v>
      </c>
      <c r="B15" s="48">
        <f>VLOOKUP(Tabla1[[#This Row],[NOMBRE CONVENCIONAL CONSTITUYENTE]],all!$A$2:$B$156,2,FALSE)</f>
        <v>14</v>
      </c>
      <c r="C15" s="48" t="str">
        <f>VLOOKUP(Tabla1[[#This Row],[id]],apellido_nombre!$J$2:$K$155,2,FALSE)</f>
        <v>Delgado, Aurora</v>
      </c>
      <c r="D15" s="7" t="s">
        <v>48</v>
      </c>
      <c r="E15" s="7">
        <v>57</v>
      </c>
      <c r="F15" s="4" t="s">
        <v>13</v>
      </c>
      <c r="G15" s="7">
        <v>24</v>
      </c>
      <c r="H15" s="4" t="s">
        <v>43</v>
      </c>
      <c r="I15" s="4"/>
      <c r="J15" s="4"/>
      <c r="K15" s="4" t="s">
        <v>44</v>
      </c>
      <c r="L15" s="4" t="s">
        <v>49</v>
      </c>
      <c r="M15" s="4" t="s">
        <v>559</v>
      </c>
      <c r="N15" s="4" t="s">
        <v>21</v>
      </c>
      <c r="O15" s="4"/>
      <c r="P15" s="4" t="s">
        <v>553</v>
      </c>
    </row>
    <row r="16" spans="1:16" x14ac:dyDescent="0.35">
      <c r="A16" s="4" t="s">
        <v>237</v>
      </c>
      <c r="B16" s="48">
        <f>VLOOKUP(Tabla1[[#This Row],[NOMBRE CONVENCIONAL CONSTITUYENTE]],all!$A$2:$B$156,2,FALSE)</f>
        <v>15</v>
      </c>
      <c r="C16" s="48" t="str">
        <f>VLOOKUP(Tabla1[[#This Row],[id]],apellido_nombre!$J$2:$K$155,2,FALSE)</f>
        <v>Rebolledo, Bárbara</v>
      </c>
      <c r="D16" s="7" t="s">
        <v>50</v>
      </c>
      <c r="E16" s="7">
        <v>49</v>
      </c>
      <c r="F16" s="4" t="s">
        <v>13</v>
      </c>
      <c r="G16" s="7">
        <v>17</v>
      </c>
      <c r="H16" s="4" t="s">
        <v>35</v>
      </c>
      <c r="I16" s="4"/>
      <c r="J16" s="4"/>
      <c r="K16" s="4" t="s">
        <v>36</v>
      </c>
      <c r="L16" s="4" t="s">
        <v>51</v>
      </c>
      <c r="M16" s="4" t="s">
        <v>561</v>
      </c>
      <c r="N16" s="4" t="s">
        <v>21</v>
      </c>
      <c r="O16" s="4"/>
      <c r="P16" s="4" t="s">
        <v>553</v>
      </c>
    </row>
    <row r="17" spans="1:16" x14ac:dyDescent="0.35">
      <c r="A17" s="4" t="s">
        <v>238</v>
      </c>
      <c r="B17" s="48">
        <f>VLOOKUP(Tabla1[[#This Row],[NOMBRE CONVENCIONAL CONSTITUYENTE]],all!$A$2:$B$156,2,FALSE)</f>
        <v>16</v>
      </c>
      <c r="C17" s="48" t="str">
        <f>VLOOKUP(Tabla1[[#This Row],[id]],apellido_nombre!$J$2:$K$155,2,FALSE)</f>
        <v>Sepúlveda, Bárbara</v>
      </c>
      <c r="D17" s="7" t="s">
        <v>52</v>
      </c>
      <c r="E17" s="7">
        <v>36</v>
      </c>
      <c r="F17" s="4" t="s">
        <v>13</v>
      </c>
      <c r="G17" s="7">
        <v>9</v>
      </c>
      <c r="H17" s="4" t="s">
        <v>43</v>
      </c>
      <c r="I17" s="4"/>
      <c r="J17" s="4"/>
      <c r="K17" s="4" t="s">
        <v>53</v>
      </c>
      <c r="L17" s="4" t="s">
        <v>54</v>
      </c>
      <c r="M17" s="4" t="s">
        <v>557</v>
      </c>
      <c r="N17" s="4" t="s">
        <v>29</v>
      </c>
      <c r="O17" s="4"/>
      <c r="P17" s="4" t="s">
        <v>551</v>
      </c>
    </row>
    <row r="18" spans="1:16" x14ac:dyDescent="0.35">
      <c r="A18" s="4" t="s">
        <v>239</v>
      </c>
      <c r="B18" s="48">
        <f>VLOOKUP(Tabla1[[#This Row],[NOMBRE CONVENCIONAL CONSTITUYENTE]],all!$A$2:$B$156,2,FALSE)</f>
        <v>17</v>
      </c>
      <c r="C18" s="48" t="str">
        <f>VLOOKUP(Tabla1[[#This Row],[id]],apellido_nombre!$J$2:$K$155,2,FALSE)</f>
        <v>Labbé, Bastián</v>
      </c>
      <c r="D18" s="7" t="s">
        <v>55</v>
      </c>
      <c r="E18" s="7">
        <v>32</v>
      </c>
      <c r="F18" s="4" t="s">
        <v>7</v>
      </c>
      <c r="G18" s="7">
        <v>20</v>
      </c>
      <c r="H18" s="4" t="s">
        <v>27</v>
      </c>
      <c r="I18" s="4" t="s">
        <v>577</v>
      </c>
      <c r="J18" s="4"/>
      <c r="K18" s="4" t="s">
        <v>28</v>
      </c>
      <c r="L18" s="4" t="s">
        <v>16</v>
      </c>
      <c r="M18" s="4" t="s">
        <v>559</v>
      </c>
      <c r="N18" s="4" t="s">
        <v>11</v>
      </c>
      <c r="O18" s="4" t="s">
        <v>21</v>
      </c>
      <c r="P18" s="4" t="s">
        <v>553</v>
      </c>
    </row>
    <row r="19" spans="1:16" x14ac:dyDescent="0.35">
      <c r="A19" s="4" t="s">
        <v>240</v>
      </c>
      <c r="B19" s="48">
        <f>VLOOKUP(Tabla1[[#This Row],[NOMBRE CONVENCIONAL CONSTITUYENTE]],all!$A$2:$B$156,2,FALSE)</f>
        <v>18</v>
      </c>
      <c r="C19" s="48" t="str">
        <f>VLOOKUP(Tabla1[[#This Row],[id]],apellido_nombre!$J$2:$K$155,2,FALSE)</f>
        <v>Sánchez, Beatriz</v>
      </c>
      <c r="D19" s="7" t="s">
        <v>56</v>
      </c>
      <c r="E19" s="7">
        <v>51</v>
      </c>
      <c r="F19" s="4" t="s">
        <v>13</v>
      </c>
      <c r="G19" s="7">
        <v>12</v>
      </c>
      <c r="H19" s="4" t="s">
        <v>43</v>
      </c>
      <c r="I19" s="4"/>
      <c r="J19" s="4"/>
      <c r="K19" s="4" t="s">
        <v>44</v>
      </c>
      <c r="L19" s="4" t="s">
        <v>49</v>
      </c>
      <c r="M19" s="4" t="s">
        <v>573</v>
      </c>
      <c r="N19" s="4" t="s">
        <v>25</v>
      </c>
      <c r="O19" s="4"/>
      <c r="P19" s="4" t="s">
        <v>553</v>
      </c>
    </row>
    <row r="20" spans="1:16" x14ac:dyDescent="0.35">
      <c r="A20" s="4" t="s">
        <v>241</v>
      </c>
      <c r="B20" s="48">
        <f>VLOOKUP(Tabla1[[#This Row],[NOMBRE CONVENCIONAL CONSTITUYENTE]],all!$A$2:$B$156,2,FALSE)</f>
        <v>19</v>
      </c>
      <c r="C20" s="48" t="str">
        <f>VLOOKUP(Tabla1[[#This Row],[id]],apellido_nombre!$J$2:$K$155,2,FALSE)</f>
        <v>Baranda, Benito</v>
      </c>
      <c r="D20" s="7" t="s">
        <v>57</v>
      </c>
      <c r="E20" s="7">
        <v>63</v>
      </c>
      <c r="F20" s="4" t="s">
        <v>7</v>
      </c>
      <c r="G20" s="7">
        <v>12</v>
      </c>
      <c r="H20" s="4" t="s">
        <v>58</v>
      </c>
      <c r="I20" s="4"/>
      <c r="J20" s="4"/>
      <c r="K20" s="4" t="s">
        <v>59</v>
      </c>
      <c r="L20" s="4" t="s">
        <v>16</v>
      </c>
      <c r="M20" s="4" t="s">
        <v>564</v>
      </c>
      <c r="N20" s="4" t="s">
        <v>21</v>
      </c>
      <c r="O20" s="4"/>
      <c r="P20" s="4" t="s">
        <v>553</v>
      </c>
    </row>
    <row r="21" spans="1:16" x14ac:dyDescent="0.35">
      <c r="A21" s="4" t="s">
        <v>242</v>
      </c>
      <c r="B21" s="48">
        <f>VLOOKUP(Tabla1[[#This Row],[NOMBRE CONVENCIONAL CONSTITUYENTE]],all!$A$2:$B$156,2,FALSE)</f>
        <v>20</v>
      </c>
      <c r="C21" s="48" t="str">
        <f>VLOOKUP(Tabla1[[#This Row],[id]],apellido_nombre!$J$2:$K$155,2,FALSE)</f>
        <v>De la Maza, Bernardo</v>
      </c>
      <c r="D21" s="7" t="s">
        <v>60</v>
      </c>
      <c r="E21" s="7">
        <v>76</v>
      </c>
      <c r="F21" s="4" t="s">
        <v>7</v>
      </c>
      <c r="G21" s="7">
        <v>8</v>
      </c>
      <c r="H21" s="4" t="s">
        <v>35</v>
      </c>
      <c r="I21" s="4"/>
      <c r="J21" s="4"/>
      <c r="K21" s="4" t="s">
        <v>36</v>
      </c>
      <c r="L21" s="4" t="s">
        <v>51</v>
      </c>
      <c r="M21" s="4" t="s">
        <v>564</v>
      </c>
      <c r="N21" s="4" t="s">
        <v>33</v>
      </c>
      <c r="O21" s="4"/>
      <c r="P21" s="4" t="s">
        <v>553</v>
      </c>
    </row>
    <row r="22" spans="1:16" x14ac:dyDescent="0.35">
      <c r="A22" s="4" t="s">
        <v>243</v>
      </c>
      <c r="B22" s="48">
        <f>VLOOKUP(Tabla1[[#This Row],[NOMBRE CONVENCIONAL CONSTITUYENTE]],all!$A$2:$B$156,2,FALSE)</f>
        <v>21</v>
      </c>
      <c r="C22" s="48" t="str">
        <f>VLOOKUP(Tabla1[[#This Row],[id]],apellido_nombre!$J$2:$K$155,2,FALSE)</f>
        <v>Fontaine, Bernardo</v>
      </c>
      <c r="D22" s="7" t="s">
        <v>61</v>
      </c>
      <c r="E22" s="7">
        <v>57</v>
      </c>
      <c r="F22" s="4" t="s">
        <v>7</v>
      </c>
      <c r="G22" s="7">
        <v>11</v>
      </c>
      <c r="H22" s="4" t="s">
        <v>35</v>
      </c>
      <c r="I22" s="4"/>
      <c r="J22" s="4"/>
      <c r="K22" s="4" t="s">
        <v>36</v>
      </c>
      <c r="L22" s="4" t="s">
        <v>62</v>
      </c>
      <c r="M22" s="4" t="s">
        <v>563</v>
      </c>
      <c r="N22" s="4" t="s">
        <v>63</v>
      </c>
      <c r="O22" s="4"/>
      <c r="P22" s="4" t="s">
        <v>553</v>
      </c>
    </row>
    <row r="23" spans="1:16" x14ac:dyDescent="0.35">
      <c r="A23" s="4" t="s">
        <v>244</v>
      </c>
      <c r="B23" s="48">
        <f>VLOOKUP(Tabla1[[#This Row],[NOMBRE CONVENCIONAL CONSTITUYENTE]],all!$A$2:$B$156,2,FALSE)</f>
        <v>22</v>
      </c>
      <c r="C23" s="48" t="str">
        <f>VLOOKUP(Tabla1[[#This Row],[id]],apellido_nombre!$J$2:$K$155,2,FALSE)</f>
        <v>Gallardo, Bessy</v>
      </c>
      <c r="D23" s="7" t="s">
        <v>64</v>
      </c>
      <c r="E23" s="7">
        <v>37</v>
      </c>
      <c r="F23" s="4" t="s">
        <v>13</v>
      </c>
      <c r="G23" s="7">
        <v>8</v>
      </c>
      <c r="H23" s="4" t="s">
        <v>18</v>
      </c>
      <c r="I23" s="4"/>
      <c r="J23" s="4"/>
      <c r="K23" s="4" t="s">
        <v>23</v>
      </c>
      <c r="L23" s="4" t="s">
        <v>65</v>
      </c>
      <c r="M23" s="4" t="s">
        <v>564</v>
      </c>
      <c r="N23" s="4" t="s">
        <v>63</v>
      </c>
      <c r="O23" s="4"/>
      <c r="P23" s="4" t="s">
        <v>551</v>
      </c>
    </row>
    <row r="24" spans="1:16" x14ac:dyDescent="0.35">
      <c r="A24" s="4" t="s">
        <v>245</v>
      </c>
      <c r="B24" s="48">
        <f>VLOOKUP(Tabla1[[#This Row],[NOMBRE CONVENCIONAL CONSTITUYENTE]],all!$A$2:$B$156,2,FALSE)</f>
        <v>23</v>
      </c>
      <c r="C24" s="48" t="str">
        <f>VLOOKUP(Tabla1[[#This Row],[id]],apellido_nombre!$J$2:$K$155,2,FALSE)</f>
        <v>Zárate, Camila</v>
      </c>
      <c r="D24" s="7" t="s">
        <v>66</v>
      </c>
      <c r="E24" s="7">
        <v>20</v>
      </c>
      <c r="F24" s="4" t="s">
        <v>13</v>
      </c>
      <c r="G24" s="7">
        <v>7</v>
      </c>
      <c r="H24" s="4" t="s">
        <v>14</v>
      </c>
      <c r="I24" s="4" t="s">
        <v>576</v>
      </c>
      <c r="J24" s="4"/>
      <c r="K24" s="4" t="s">
        <v>67</v>
      </c>
      <c r="L24" s="4" t="s">
        <v>16</v>
      </c>
      <c r="M24" s="4" t="s">
        <v>565</v>
      </c>
      <c r="N24" s="4" t="s">
        <v>63</v>
      </c>
      <c r="O24" s="4"/>
      <c r="P24" s="4" t="s">
        <v>550</v>
      </c>
    </row>
    <row r="25" spans="1:16" x14ac:dyDescent="0.35">
      <c r="A25" s="4" t="s">
        <v>246</v>
      </c>
      <c r="B25" s="48">
        <f>VLOOKUP(Tabla1[[#This Row],[NOMBRE CONVENCIONAL CONSTITUYENTE]],all!$A$2:$B$156,2,FALSE)</f>
        <v>24</v>
      </c>
      <c r="C25" s="48" t="str">
        <f>VLOOKUP(Tabla1[[#This Row],[id]],apellido_nombre!$J$2:$K$155,2,FALSE)</f>
        <v>Calvo, Carlos</v>
      </c>
      <c r="D25" s="7" t="s">
        <v>68</v>
      </c>
      <c r="E25" s="7">
        <v>76</v>
      </c>
      <c r="F25" s="4" t="s">
        <v>7</v>
      </c>
      <c r="G25" s="7">
        <v>5</v>
      </c>
      <c r="H25" s="4" t="s">
        <v>18</v>
      </c>
      <c r="I25" s="4"/>
      <c r="J25" s="4"/>
      <c r="K25" s="4" t="s">
        <v>19</v>
      </c>
      <c r="L25" s="4" t="s">
        <v>20</v>
      </c>
      <c r="M25" s="4" t="s">
        <v>554</v>
      </c>
      <c r="N25" s="4" t="s">
        <v>33</v>
      </c>
      <c r="O25" s="4"/>
      <c r="P25" s="4" t="s">
        <v>553</v>
      </c>
    </row>
    <row r="26" spans="1:16" x14ac:dyDescent="0.35">
      <c r="A26" s="4" t="s">
        <v>247</v>
      </c>
      <c r="B26" s="48">
        <f>VLOOKUP(Tabla1[[#This Row],[NOMBRE CONVENCIONAL CONSTITUYENTE]],all!$A$2:$B$156,2,FALSE)</f>
        <v>25</v>
      </c>
      <c r="C26" s="48" t="str">
        <f>VLOOKUP(Tabla1[[#This Row],[id]],apellido_nombre!$J$2:$K$155,2,FALSE)</f>
        <v>Arrau, Martín</v>
      </c>
      <c r="D26" s="7" t="s">
        <v>69</v>
      </c>
      <c r="E26" s="7">
        <v>43</v>
      </c>
      <c r="F26" s="4" t="s">
        <v>7</v>
      </c>
      <c r="G26" s="7">
        <v>19</v>
      </c>
      <c r="H26" s="4" t="s">
        <v>35</v>
      </c>
      <c r="I26" s="4"/>
      <c r="J26" s="4"/>
      <c r="K26" s="4" t="s">
        <v>36</v>
      </c>
      <c r="L26" s="4" t="s">
        <v>70</v>
      </c>
      <c r="M26" s="4" t="s">
        <v>563</v>
      </c>
      <c r="N26" s="4" t="s">
        <v>25</v>
      </c>
      <c r="O26" s="4"/>
      <c r="P26" s="4" t="s">
        <v>551</v>
      </c>
    </row>
    <row r="27" spans="1:16" x14ac:dyDescent="0.35">
      <c r="A27" s="4" t="s">
        <v>248</v>
      </c>
      <c r="B27" s="48">
        <f>VLOOKUP(Tabla1[[#This Row],[NOMBRE CONVENCIONAL CONSTITUYENTE]],all!$A$2:$B$156,2,FALSE)</f>
        <v>26</v>
      </c>
      <c r="C27" s="48" t="str">
        <f>VLOOKUP(Tabla1[[#This Row],[id]],apellido_nombre!$J$2:$K$155,2,FALSE)</f>
        <v>Bown, Carol</v>
      </c>
      <c r="D27" s="7" t="s">
        <v>71</v>
      </c>
      <c r="E27" s="7">
        <v>43</v>
      </c>
      <c r="F27" s="4" t="s">
        <v>13</v>
      </c>
      <c r="G27" s="7">
        <v>15</v>
      </c>
      <c r="H27" s="4" t="s">
        <v>35</v>
      </c>
      <c r="I27" s="4"/>
      <c r="J27" s="4"/>
      <c r="K27" s="4" t="s">
        <v>36</v>
      </c>
      <c r="L27" s="4" t="s">
        <v>70</v>
      </c>
      <c r="M27" s="4" t="s">
        <v>566</v>
      </c>
      <c r="N27" s="4" t="s">
        <v>47</v>
      </c>
      <c r="O27" s="4"/>
      <c r="P27" s="4" t="s">
        <v>551</v>
      </c>
    </row>
    <row r="28" spans="1:16" x14ac:dyDescent="0.35">
      <c r="A28" s="4" t="s">
        <v>567</v>
      </c>
      <c r="B28" s="48">
        <f>VLOOKUP(Tabla1[[#This Row],[NOMBRE CONVENCIONAL CONSTITUYENTE]],all!$A$2:$B$156,2,FALSE)</f>
        <v>27</v>
      </c>
      <c r="C28" s="48" t="str">
        <f>VLOOKUP(Tabla1[[#This Row],[id]],apellido_nombre!$J$2:$K$155,2,FALSE)</f>
        <v>Sepúlveda, Carolina</v>
      </c>
      <c r="D28" s="7" t="s">
        <v>72</v>
      </c>
      <c r="E28" s="7">
        <v>40</v>
      </c>
      <c r="F28" s="4" t="s">
        <v>13</v>
      </c>
      <c r="G28" s="7">
        <v>19</v>
      </c>
      <c r="H28" s="4" t="s">
        <v>58</v>
      </c>
      <c r="I28" s="4"/>
      <c r="J28" s="4"/>
      <c r="K28" s="4" t="s">
        <v>59</v>
      </c>
      <c r="L28" s="4" t="s">
        <v>16</v>
      </c>
      <c r="M28" s="4" t="s">
        <v>559</v>
      </c>
      <c r="N28" s="4" t="s">
        <v>63</v>
      </c>
      <c r="O28" s="4"/>
      <c r="P28" s="4" t="s">
        <v>553</v>
      </c>
    </row>
    <row r="29" spans="1:16" x14ac:dyDescent="0.35">
      <c r="A29" s="4" t="s">
        <v>249</v>
      </c>
      <c r="B29" s="48">
        <f>VLOOKUP(Tabla1[[#This Row],[NOMBRE CONVENCIONAL CONSTITUYENTE]],all!$A$2:$B$156,2,FALSE)</f>
        <v>28</v>
      </c>
      <c r="C29" s="48" t="str">
        <f>VLOOKUP(Tabla1[[#This Row],[id]],apellido_nombre!$J$2:$K$155,2,FALSE)</f>
        <v>Vilches, Carolina</v>
      </c>
      <c r="D29" s="7" t="s">
        <v>73</v>
      </c>
      <c r="E29" s="7">
        <v>37</v>
      </c>
      <c r="F29" s="4" t="s">
        <v>13</v>
      </c>
      <c r="G29" s="7">
        <v>6</v>
      </c>
      <c r="H29" s="4" t="s">
        <v>43</v>
      </c>
      <c r="I29" s="4" t="s">
        <v>577</v>
      </c>
      <c r="J29" s="4"/>
      <c r="K29" s="4" t="s">
        <v>28</v>
      </c>
      <c r="L29" s="4" t="s">
        <v>74</v>
      </c>
      <c r="M29" s="4" t="s">
        <v>557</v>
      </c>
      <c r="N29" s="4" t="s">
        <v>63</v>
      </c>
      <c r="O29" s="4"/>
      <c r="P29" s="4" t="s">
        <v>553</v>
      </c>
    </row>
    <row r="30" spans="1:16" x14ac:dyDescent="0.35">
      <c r="A30" s="4" t="s">
        <v>250</v>
      </c>
      <c r="B30" s="48">
        <f>VLOOKUP(Tabla1[[#This Row],[NOMBRE CONVENCIONAL CONSTITUYENTE]],all!$A$2:$B$156,2,FALSE)</f>
        <v>29</v>
      </c>
      <c r="C30" s="48" t="str">
        <f>VLOOKUP(Tabla1[[#This Row],[id]],apellido_nombre!$J$2:$K$155,2,FALSE)</f>
        <v>Videla, Carolina</v>
      </c>
      <c r="D30" s="7" t="s">
        <v>75</v>
      </c>
      <c r="E30" s="7">
        <v>53</v>
      </c>
      <c r="F30" s="4" t="s">
        <v>13</v>
      </c>
      <c r="G30" s="7">
        <v>1</v>
      </c>
      <c r="H30" s="4" t="s">
        <v>43</v>
      </c>
      <c r="I30" s="4"/>
      <c r="J30" s="4"/>
      <c r="K30" s="4" t="s">
        <v>53</v>
      </c>
      <c r="L30" s="4" t="s">
        <v>54</v>
      </c>
      <c r="M30" s="4" t="s">
        <v>569</v>
      </c>
      <c r="N30" s="4" t="s">
        <v>33</v>
      </c>
      <c r="O30" s="4"/>
      <c r="P30" s="4" t="s">
        <v>552</v>
      </c>
    </row>
    <row r="31" spans="1:16" x14ac:dyDescent="0.35">
      <c r="A31" s="4" t="s">
        <v>251</v>
      </c>
      <c r="B31" s="48">
        <f>VLOOKUP(Tabla1[[#This Row],[NOMBRE CONVENCIONAL CONSTITUYENTE]],all!$A$2:$B$156,2,FALSE)</f>
        <v>30</v>
      </c>
      <c r="C31" s="48" t="str">
        <f>VLOOKUP(Tabla1[[#This Row],[id]],apellido_nombre!$J$2:$K$155,2,FALSE)</f>
        <v>Valenzuela, César</v>
      </c>
      <c r="D31" s="7" t="s">
        <v>76</v>
      </c>
      <c r="E31" s="7">
        <v>33</v>
      </c>
      <c r="F31" s="4" t="s">
        <v>7</v>
      </c>
      <c r="G31" s="7">
        <v>9</v>
      </c>
      <c r="H31" s="4" t="s">
        <v>18</v>
      </c>
      <c r="I31" s="4"/>
      <c r="J31" s="4"/>
      <c r="K31" s="4" t="s">
        <v>19</v>
      </c>
      <c r="L31" s="4" t="s">
        <v>77</v>
      </c>
      <c r="M31" s="4" t="s">
        <v>563</v>
      </c>
      <c r="N31" s="4" t="s">
        <v>21</v>
      </c>
      <c r="O31" s="4"/>
      <c r="P31" s="4" t="s">
        <v>550</v>
      </c>
    </row>
    <row r="32" spans="1:16" x14ac:dyDescent="0.35">
      <c r="A32" s="4" t="s">
        <v>252</v>
      </c>
      <c r="B32" s="48">
        <f>VLOOKUP(Tabla1[[#This Row],[NOMBRE CONVENCIONAL CONSTITUYENTE]],all!$A$2:$B$156,2,FALSE)</f>
        <v>31</v>
      </c>
      <c r="C32" s="48" t="str">
        <f>VLOOKUP(Tabla1[[#This Row],[id]],apellido_nombre!$J$2:$K$155,2,FALSE)</f>
        <v>Uribe, César</v>
      </c>
      <c r="D32" s="7" t="s">
        <v>78</v>
      </c>
      <c r="E32" s="7">
        <v>38</v>
      </c>
      <c r="F32" s="4" t="s">
        <v>7</v>
      </c>
      <c r="G32" s="7">
        <v>19</v>
      </c>
      <c r="H32" s="4" t="s">
        <v>14</v>
      </c>
      <c r="I32" s="4" t="s">
        <v>576</v>
      </c>
      <c r="J32" s="4"/>
      <c r="K32" s="4" t="s">
        <v>67</v>
      </c>
      <c r="L32" s="4" t="s">
        <v>16</v>
      </c>
      <c r="M32" s="4" t="s">
        <v>556</v>
      </c>
      <c r="N32" s="4" t="s">
        <v>11</v>
      </c>
      <c r="O32" s="4"/>
      <c r="P32" s="4" t="s">
        <v>553</v>
      </c>
    </row>
    <row r="33" spans="1:16" x14ac:dyDescent="0.35">
      <c r="A33" s="4" t="s">
        <v>253</v>
      </c>
      <c r="B33" s="48">
        <f>VLOOKUP(Tabla1[[#This Row],[NOMBRE CONVENCIONAL CONSTITUYENTE]],all!$A$2:$B$156,2,FALSE)</f>
        <v>32</v>
      </c>
      <c r="C33" s="48" t="str">
        <f>VLOOKUP(Tabla1[[#This Row],[id]],apellido_nombre!$J$2:$K$155,2,FALSE)</f>
        <v>Viera, Christian</v>
      </c>
      <c r="D33" s="7" t="s">
        <v>79</v>
      </c>
      <c r="E33" s="7">
        <v>49</v>
      </c>
      <c r="F33" s="4" t="s">
        <v>7</v>
      </c>
      <c r="G33" s="7">
        <v>17</v>
      </c>
      <c r="H33" s="4" t="s">
        <v>18</v>
      </c>
      <c r="I33" s="4"/>
      <c r="J33" s="4"/>
      <c r="K33" s="4" t="s">
        <v>44</v>
      </c>
      <c r="L33" s="4" t="s">
        <v>80</v>
      </c>
      <c r="M33" s="4" t="s">
        <v>564</v>
      </c>
      <c r="N33" s="4" t="s">
        <v>47</v>
      </c>
      <c r="O33" s="4"/>
      <c r="P33" s="4" t="s">
        <v>551</v>
      </c>
    </row>
    <row r="34" spans="1:16" x14ac:dyDescent="0.35">
      <c r="A34" s="4" t="s">
        <v>254</v>
      </c>
      <c r="B34" s="48">
        <f>VLOOKUP(Tabla1[[#This Row],[NOMBRE CONVENCIONAL CONSTITUYENTE]],all!$A$2:$B$156,2,FALSE)</f>
        <v>33</v>
      </c>
      <c r="C34" s="48" t="str">
        <f>VLOOKUP(Tabla1[[#This Row],[id]],apellido_nombre!$J$2:$K$155,2,FALSE)</f>
        <v>Castro, Claudia</v>
      </c>
      <c r="D34" s="7" t="s">
        <v>81</v>
      </c>
      <c r="E34" s="7">
        <v>54</v>
      </c>
      <c r="F34" s="4" t="s">
        <v>13</v>
      </c>
      <c r="G34" s="7">
        <v>14</v>
      </c>
      <c r="H34" s="4" t="s">
        <v>35</v>
      </c>
      <c r="I34" s="4"/>
      <c r="J34" s="4"/>
      <c r="K34" s="4" t="s">
        <v>36</v>
      </c>
      <c r="L34" s="4" t="s">
        <v>37</v>
      </c>
      <c r="M34" s="4" t="s">
        <v>559</v>
      </c>
      <c r="N34" s="4" t="s">
        <v>21</v>
      </c>
      <c r="O34" s="4"/>
      <c r="P34" s="4" t="s">
        <v>553</v>
      </c>
    </row>
    <row r="35" spans="1:16" x14ac:dyDescent="0.35">
      <c r="A35" s="4" t="s">
        <v>255</v>
      </c>
      <c r="B35" s="48">
        <f>VLOOKUP(Tabla1[[#This Row],[NOMBRE CONVENCIONAL CONSTITUYENTE]],all!$A$2:$B$156,2,FALSE)</f>
        <v>34</v>
      </c>
      <c r="C35" s="48" t="str">
        <f>VLOOKUP(Tabla1[[#This Row],[id]],apellido_nombre!$J$2:$K$155,2,FALSE)</f>
        <v>Letelier, Margarita</v>
      </c>
      <c r="D35" s="7" t="s">
        <v>82</v>
      </c>
      <c r="E35" s="7">
        <v>41</v>
      </c>
      <c r="F35" s="4" t="s">
        <v>13</v>
      </c>
      <c r="G35" s="7">
        <v>17</v>
      </c>
      <c r="H35" s="4" t="s">
        <v>35</v>
      </c>
      <c r="I35" s="4"/>
      <c r="J35" s="4"/>
      <c r="K35" s="4" t="s">
        <v>36</v>
      </c>
      <c r="L35" s="4" t="s">
        <v>70</v>
      </c>
      <c r="M35" s="4" t="s">
        <v>569</v>
      </c>
      <c r="N35" s="4" t="s">
        <v>33</v>
      </c>
      <c r="O35" s="4"/>
      <c r="P35" s="4" t="s">
        <v>553</v>
      </c>
    </row>
    <row r="36" spans="1:16" x14ac:dyDescent="0.35">
      <c r="A36" s="4" t="s">
        <v>256</v>
      </c>
      <c r="B36" s="48">
        <f>VLOOKUP(Tabla1[[#This Row],[NOMBRE CONVENCIONAL CONSTITUYENTE]],all!$A$2:$B$156,2,FALSE)</f>
        <v>35</v>
      </c>
      <c r="C36" s="48" t="str">
        <f>VLOOKUP(Tabla1[[#This Row],[id]],apellido_nombre!$J$2:$K$155,2,FALSE)</f>
        <v>Gómez, Claudio</v>
      </c>
      <c r="D36" s="7" t="s">
        <v>83</v>
      </c>
      <c r="E36" s="7">
        <v>44</v>
      </c>
      <c r="F36" s="4" t="s">
        <v>7</v>
      </c>
      <c r="G36" s="7">
        <v>6</v>
      </c>
      <c r="H36" s="4" t="s">
        <v>18</v>
      </c>
      <c r="I36" s="4"/>
      <c r="J36" s="4"/>
      <c r="K36" s="4" t="s">
        <v>19</v>
      </c>
      <c r="L36" s="4" t="s">
        <v>20</v>
      </c>
      <c r="M36" s="4" t="s">
        <v>557</v>
      </c>
      <c r="N36" s="4" t="s">
        <v>11</v>
      </c>
      <c r="O36" s="4"/>
      <c r="P36" s="4" t="s">
        <v>551</v>
      </c>
    </row>
    <row r="37" spans="1:16" x14ac:dyDescent="0.35">
      <c r="A37" s="4" t="s">
        <v>257</v>
      </c>
      <c r="B37" s="48">
        <f>VLOOKUP(Tabla1[[#This Row],[NOMBRE CONVENCIONAL CONSTITUYENTE]],all!$A$2:$B$156,2,FALSE)</f>
        <v>36</v>
      </c>
      <c r="C37" s="48" t="str">
        <f>VLOOKUP(Tabla1[[#This Row],[id]],apellido_nombre!$J$2:$K$155,2,FALSE)</f>
        <v>San Juan, Constanza</v>
      </c>
      <c r="D37" s="7" t="s">
        <v>84</v>
      </c>
      <c r="E37" s="7">
        <v>36</v>
      </c>
      <c r="F37" s="4" t="s">
        <v>13</v>
      </c>
      <c r="G37" s="7">
        <v>4</v>
      </c>
      <c r="H37" s="4" t="s">
        <v>14</v>
      </c>
      <c r="I37" s="4" t="s">
        <v>577</v>
      </c>
      <c r="J37" s="4"/>
      <c r="K37" s="4" t="s">
        <v>28</v>
      </c>
      <c r="L37" s="4" t="s">
        <v>16</v>
      </c>
      <c r="M37" s="4" t="s">
        <v>569</v>
      </c>
      <c r="N37" s="4" t="s">
        <v>63</v>
      </c>
      <c r="O37" s="4"/>
      <c r="P37" s="4" t="s">
        <v>553</v>
      </c>
    </row>
    <row r="38" spans="1:16" x14ac:dyDescent="0.35">
      <c r="A38" s="4" t="s">
        <v>258</v>
      </c>
      <c r="B38" s="48">
        <f>VLOOKUP(Tabla1[[#This Row],[NOMBRE CONVENCIONAL CONSTITUYENTE]],all!$A$2:$B$156,2,FALSE)</f>
        <v>37</v>
      </c>
      <c r="C38" s="48" t="str">
        <f>VLOOKUP(Tabla1[[#This Row],[id]],apellido_nombre!$J$2:$K$155,2,FALSE)</f>
        <v>Schonhaut, Constanza</v>
      </c>
      <c r="D38" s="7" t="s">
        <v>85</v>
      </c>
      <c r="E38" s="7">
        <v>33</v>
      </c>
      <c r="F38" s="4" t="s">
        <v>13</v>
      </c>
      <c r="G38" s="7">
        <v>11</v>
      </c>
      <c r="H38" s="4" t="s">
        <v>43</v>
      </c>
      <c r="I38" s="4"/>
      <c r="J38" s="4"/>
      <c r="K38" s="4" t="s">
        <v>44</v>
      </c>
      <c r="L38" s="4" t="s">
        <v>86</v>
      </c>
      <c r="M38" s="4" t="s">
        <v>559</v>
      </c>
      <c r="N38" s="4" t="s">
        <v>29</v>
      </c>
      <c r="O38" s="4"/>
      <c r="P38" s="4" t="s">
        <v>550</v>
      </c>
    </row>
    <row r="39" spans="1:16" x14ac:dyDescent="0.35">
      <c r="A39" s="4" t="s">
        <v>259</v>
      </c>
      <c r="B39" s="48">
        <f>VLOOKUP(Tabla1[[#This Row],[NOMBRE CONVENCIONAL CONSTITUYENTE]],all!$A$2:$B$156,2,FALSE)</f>
        <v>38</v>
      </c>
      <c r="C39" s="48" t="str">
        <f>VLOOKUP(Tabla1[[#This Row],[id]],apellido_nombre!$J$2:$K$155,2,FALSE)</f>
        <v>Hube, Constanza</v>
      </c>
      <c r="D39" s="7" t="s">
        <v>87</v>
      </c>
      <c r="E39" s="7">
        <v>36</v>
      </c>
      <c r="F39" s="4" t="s">
        <v>13</v>
      </c>
      <c r="G39" s="7">
        <v>11</v>
      </c>
      <c r="H39" s="4" t="s">
        <v>35</v>
      </c>
      <c r="I39" s="4"/>
      <c r="J39" s="4"/>
      <c r="K39" s="4" t="s">
        <v>36</v>
      </c>
      <c r="L39" s="4" t="s">
        <v>70</v>
      </c>
      <c r="M39" s="4" t="s">
        <v>557</v>
      </c>
      <c r="N39" s="4" t="s">
        <v>29</v>
      </c>
      <c r="O39" s="4"/>
      <c r="P39" s="4" t="s">
        <v>550</v>
      </c>
    </row>
    <row r="40" spans="1:16" x14ac:dyDescent="0.35">
      <c r="A40" s="4" t="s">
        <v>260</v>
      </c>
      <c r="B40" s="48">
        <f>VLOOKUP(Tabla1[[#This Row],[NOMBRE CONVENCIONAL CONSTITUYENTE]],all!$A$2:$B$156,2,FALSE)</f>
        <v>39</v>
      </c>
      <c r="C40" s="48" t="str">
        <f>VLOOKUP(Tabla1[[#This Row],[id]],apellido_nombre!$J$2:$K$155,2,FALSE)</f>
        <v>Monckeberg, Cristían</v>
      </c>
      <c r="D40" s="7" t="s">
        <v>88</v>
      </c>
      <c r="E40" s="7">
        <v>53</v>
      </c>
      <c r="F40" s="4" t="s">
        <v>7</v>
      </c>
      <c r="G40" s="7">
        <v>10</v>
      </c>
      <c r="H40" s="4" t="s">
        <v>35</v>
      </c>
      <c r="I40" s="4"/>
      <c r="J40" s="4"/>
      <c r="K40" s="4" t="s">
        <v>36</v>
      </c>
      <c r="L40" s="4" t="s">
        <v>40</v>
      </c>
      <c r="M40" s="4" t="s">
        <v>565</v>
      </c>
      <c r="N40" s="4" t="s">
        <v>29</v>
      </c>
      <c r="O40" s="4"/>
      <c r="P40" s="4" t="s">
        <v>550</v>
      </c>
    </row>
    <row r="41" spans="1:16" x14ac:dyDescent="0.35">
      <c r="A41" s="4" t="s">
        <v>261</v>
      </c>
      <c r="B41" s="48">
        <f>VLOOKUP(Tabla1[[#This Row],[NOMBRE CONVENCIONAL CONSTITUYENTE]],all!$A$2:$B$156,2,FALSE)</f>
        <v>40</v>
      </c>
      <c r="C41" s="48" t="str">
        <f>VLOOKUP(Tabla1[[#This Row],[id]],apellido_nombre!$J$2:$K$155,2,FALSE)</f>
        <v>Dorador, Cristina</v>
      </c>
      <c r="D41" s="7" t="s">
        <v>89</v>
      </c>
      <c r="E41" s="7">
        <v>42</v>
      </c>
      <c r="F41" s="4" t="s">
        <v>13</v>
      </c>
      <c r="G41" s="7">
        <v>3</v>
      </c>
      <c r="H41" s="4" t="s">
        <v>27</v>
      </c>
      <c r="I41" s="4" t="s">
        <v>577</v>
      </c>
      <c r="J41" s="4"/>
      <c r="K41" s="4" t="s">
        <v>28</v>
      </c>
      <c r="L41" s="4" t="s">
        <v>16</v>
      </c>
      <c r="M41" s="4" t="s">
        <v>566</v>
      </c>
      <c r="N41" s="4" t="s">
        <v>33</v>
      </c>
      <c r="O41" s="4"/>
      <c r="P41" s="4" t="s">
        <v>552</v>
      </c>
    </row>
    <row r="42" spans="1:16" x14ac:dyDescent="0.35">
      <c r="A42" s="4" t="s">
        <v>262</v>
      </c>
      <c r="B42" s="48">
        <f>VLOOKUP(Tabla1[[#This Row],[NOMBRE CONVENCIONAL CONSTITUYENTE]],all!$A$2:$B$156,2,FALSE)</f>
        <v>41</v>
      </c>
      <c r="C42" s="48" t="str">
        <f>VLOOKUP(Tabla1[[#This Row],[id]],apellido_nombre!$J$2:$K$155,2,FALSE)</f>
        <v>Andrade, Cristóbal</v>
      </c>
      <c r="D42" s="7" t="s">
        <v>90</v>
      </c>
      <c r="E42" s="7">
        <v>33</v>
      </c>
      <c r="F42" s="4" t="s">
        <v>7</v>
      </c>
      <c r="G42" s="7">
        <v>6</v>
      </c>
      <c r="H42" s="4" t="s">
        <v>14</v>
      </c>
      <c r="I42" s="4" t="s">
        <v>16</v>
      </c>
      <c r="J42" s="4"/>
      <c r="K42" s="4" t="s">
        <v>15</v>
      </c>
      <c r="L42" s="4" t="s">
        <v>16</v>
      </c>
      <c r="M42" s="4" t="s">
        <v>564</v>
      </c>
      <c r="N42" s="4" t="s">
        <v>11</v>
      </c>
      <c r="O42" s="4"/>
      <c r="P42" s="4" t="s">
        <v>553</v>
      </c>
    </row>
    <row r="43" spans="1:16" x14ac:dyDescent="0.35">
      <c r="A43" s="4" t="s">
        <v>263</v>
      </c>
      <c r="B43" s="48">
        <f>VLOOKUP(Tabla1[[#This Row],[NOMBRE CONVENCIONAL CONSTITUYENTE]],all!$A$2:$B$156,2,FALSE)</f>
        <v>42</v>
      </c>
      <c r="C43" s="48" t="str">
        <f>VLOOKUP(Tabla1[[#This Row],[id]],apellido_nombre!$J$2:$K$155,2,FALSE)</f>
        <v>Abarca, Damaris</v>
      </c>
      <c r="D43" s="7" t="s">
        <v>91</v>
      </c>
      <c r="E43" s="7">
        <v>33</v>
      </c>
      <c r="F43" s="4" t="s">
        <v>13</v>
      </c>
      <c r="G43" s="7">
        <v>15</v>
      </c>
      <c r="H43" s="4" t="s">
        <v>43</v>
      </c>
      <c r="I43" s="4"/>
      <c r="J43" s="4"/>
      <c r="K43" s="4" t="s">
        <v>44</v>
      </c>
      <c r="L43" s="4" t="s">
        <v>92</v>
      </c>
      <c r="M43" s="4" t="s">
        <v>564</v>
      </c>
      <c r="N43" s="4" t="s">
        <v>21</v>
      </c>
      <c r="O43" s="4"/>
      <c r="P43" s="4" t="s">
        <v>553</v>
      </c>
    </row>
    <row r="44" spans="1:16" x14ac:dyDescent="0.35">
      <c r="A44" s="4" t="s">
        <v>264</v>
      </c>
      <c r="B44" s="48">
        <f>VLOOKUP(Tabla1[[#This Row],[NOMBRE CONVENCIONAL CONSTITUYENTE]],all!$A$2:$B$156,2,FALSE)</f>
        <v>43</v>
      </c>
      <c r="C44" s="48" t="str">
        <f>VLOOKUP(Tabla1[[#This Row],[id]],apellido_nombre!$J$2:$K$155,2,FALSE)</f>
        <v>Bravo, Daniel</v>
      </c>
      <c r="D44" s="7" t="s">
        <v>93</v>
      </c>
      <c r="E44" s="7">
        <v>40</v>
      </c>
      <c r="F44" s="4" t="s">
        <v>7</v>
      </c>
      <c r="G44" s="7">
        <v>5</v>
      </c>
      <c r="H44" s="4" t="s">
        <v>14</v>
      </c>
      <c r="I44" s="4" t="s">
        <v>576</v>
      </c>
      <c r="J44" s="4"/>
      <c r="K44" s="4" t="s">
        <v>67</v>
      </c>
      <c r="L44" s="4" t="s">
        <v>16</v>
      </c>
      <c r="M44" s="4" t="s">
        <v>557</v>
      </c>
      <c r="N44" s="4" t="s">
        <v>47</v>
      </c>
      <c r="O44" s="4"/>
      <c r="P44" s="4" t="s">
        <v>551</v>
      </c>
    </row>
    <row r="45" spans="1:16" x14ac:dyDescent="0.35">
      <c r="A45" s="4" t="s">
        <v>265</v>
      </c>
      <c r="B45" s="48">
        <f>VLOOKUP(Tabla1[[#This Row],[NOMBRE CONVENCIONAL CONSTITUYENTE]],all!$A$2:$B$156,2,FALSE)</f>
        <v>44</v>
      </c>
      <c r="C45" s="48" t="str">
        <f>VLOOKUP(Tabla1[[#This Row],[id]],apellido_nombre!$J$2:$K$155,2,FALSE)</f>
        <v>Stingo, Daniel</v>
      </c>
      <c r="D45" s="7" t="s">
        <v>94</v>
      </c>
      <c r="E45" s="7">
        <v>56</v>
      </c>
      <c r="F45" s="4" t="s">
        <v>7</v>
      </c>
      <c r="G45" s="7">
        <v>8</v>
      </c>
      <c r="H45" s="4" t="s">
        <v>43</v>
      </c>
      <c r="I45" s="4"/>
      <c r="J45" s="4"/>
      <c r="K45" s="4" t="s">
        <v>44</v>
      </c>
      <c r="L45" s="4" t="s">
        <v>49</v>
      </c>
      <c r="M45" s="4" t="s">
        <v>563</v>
      </c>
      <c r="N45" s="4" t="s">
        <v>47</v>
      </c>
      <c r="O45" s="4"/>
      <c r="P45" s="4" t="s">
        <v>553</v>
      </c>
    </row>
    <row r="46" spans="1:16" x14ac:dyDescent="0.35">
      <c r="A46" s="4" t="s">
        <v>266</v>
      </c>
      <c r="B46" s="48">
        <f>VLOOKUP(Tabla1[[#This Row],[NOMBRE CONVENCIONAL CONSTITUYENTE]],all!$A$2:$B$156,2,FALSE)</f>
        <v>45</v>
      </c>
      <c r="C46" s="48" t="str">
        <f>VLOOKUP(Tabla1[[#This Row],[id]],apellido_nombre!$J$2:$K$155,2,FALSE)</f>
        <v>González, Dayyana</v>
      </c>
      <c r="D46" s="7" t="s">
        <v>95</v>
      </c>
      <c r="E46" s="7">
        <v>34</v>
      </c>
      <c r="F46" s="4" t="s">
        <v>13</v>
      </c>
      <c r="G46" s="7">
        <v>3</v>
      </c>
      <c r="H46" s="4" t="s">
        <v>14</v>
      </c>
      <c r="I46" s="4" t="s">
        <v>576</v>
      </c>
      <c r="J46" s="4"/>
      <c r="K46" s="4" t="s">
        <v>67</v>
      </c>
      <c r="L46" s="4" t="s">
        <v>16</v>
      </c>
      <c r="M46" s="4" t="s">
        <v>559</v>
      </c>
      <c r="N46" s="4" t="s">
        <v>21</v>
      </c>
      <c r="O46" s="4"/>
      <c r="P46" s="4" t="s">
        <v>553</v>
      </c>
    </row>
    <row r="47" spans="1:16" x14ac:dyDescent="0.35">
      <c r="A47" s="4" t="s">
        <v>267</v>
      </c>
      <c r="B47" s="48">
        <f>VLOOKUP(Tabla1[[#This Row],[NOMBRE CONVENCIONAL CONSTITUYENTE]],all!$A$2:$B$156,2,FALSE)</f>
        <v>46</v>
      </c>
      <c r="C47" s="48" t="str">
        <f>VLOOKUP(Tabla1[[#This Row],[id]],apellido_nombre!$J$2:$K$155,2,FALSE)</f>
        <v>Cretton, Eduardo</v>
      </c>
      <c r="D47" s="7" t="s">
        <v>96</v>
      </c>
      <c r="E47" s="7">
        <v>26</v>
      </c>
      <c r="F47" s="4" t="s">
        <v>7</v>
      </c>
      <c r="G47" s="7">
        <v>22</v>
      </c>
      <c r="H47" s="4" t="s">
        <v>35</v>
      </c>
      <c r="I47" s="4"/>
      <c r="J47" s="4"/>
      <c r="K47" s="4" t="s">
        <v>36</v>
      </c>
      <c r="L47" s="4" t="s">
        <v>70</v>
      </c>
      <c r="M47" s="4" t="s">
        <v>554</v>
      </c>
      <c r="N47" s="4" t="s">
        <v>25</v>
      </c>
      <c r="O47" s="4"/>
      <c r="P47" s="4" t="s">
        <v>553</v>
      </c>
    </row>
    <row r="48" spans="1:16" x14ac:dyDescent="0.35">
      <c r="A48" s="4" t="s">
        <v>268</v>
      </c>
      <c r="B48" s="48">
        <f>VLOOKUP(Tabla1[[#This Row],[NOMBRE CONVENCIONAL CONSTITUYENTE]],all!$A$2:$B$156,2,FALSE)</f>
        <v>47</v>
      </c>
      <c r="C48" s="48" t="str">
        <f>VLOOKUP(Tabla1[[#This Row],[id]],apellido_nombre!$J$2:$K$155,2,FALSE)</f>
        <v>Castillo, Eduardo</v>
      </c>
      <c r="D48" s="7" t="s">
        <v>97</v>
      </c>
      <c r="E48" s="7">
        <v>71</v>
      </c>
      <c r="F48" s="4" t="s">
        <v>7</v>
      </c>
      <c r="G48" s="7">
        <v>23</v>
      </c>
      <c r="H48" s="4" t="s">
        <v>18</v>
      </c>
      <c r="I48" s="4"/>
      <c r="J48" s="4"/>
      <c r="K48" s="4" t="s">
        <v>23</v>
      </c>
      <c r="L48" s="4" t="s">
        <v>98</v>
      </c>
      <c r="M48" s="4" t="s">
        <v>563</v>
      </c>
      <c r="N48" s="4" t="s">
        <v>11</v>
      </c>
      <c r="O48" s="4"/>
      <c r="P48" s="4" t="s">
        <v>550</v>
      </c>
    </row>
    <row r="49" spans="1:16" x14ac:dyDescent="0.35">
      <c r="A49" s="4" t="s">
        <v>269</v>
      </c>
      <c r="B49" s="48">
        <f>VLOOKUP(Tabla1[[#This Row],[NOMBRE CONVENCIONAL CONSTITUYENTE]],all!$A$2:$B$156,2,FALSE)</f>
        <v>48</v>
      </c>
      <c r="C49" s="48" t="str">
        <f>VLOOKUP(Tabla1[[#This Row],[id]],apellido_nombre!$J$2:$K$155,2,FALSE)</f>
        <v>Giustinianovich, Elisa</v>
      </c>
      <c r="D49" s="7" t="s">
        <v>99</v>
      </c>
      <c r="E49" s="7">
        <v>37</v>
      </c>
      <c r="F49" s="4" t="s">
        <v>13</v>
      </c>
      <c r="G49" s="7">
        <v>28</v>
      </c>
      <c r="H49" s="4" t="s">
        <v>14</v>
      </c>
      <c r="I49" s="4" t="s">
        <v>577</v>
      </c>
      <c r="J49" s="4"/>
      <c r="K49" s="4" t="s">
        <v>28</v>
      </c>
      <c r="L49" s="4" t="s">
        <v>16</v>
      </c>
      <c r="M49" s="4" t="s">
        <v>559</v>
      </c>
      <c r="N49" s="4" t="s">
        <v>11</v>
      </c>
      <c r="O49" s="4"/>
      <c r="P49" s="4" t="s">
        <v>550</v>
      </c>
    </row>
    <row r="50" spans="1:16" x14ac:dyDescent="0.35">
      <c r="A50" s="4" t="s">
        <v>270</v>
      </c>
      <c r="B50" s="48">
        <f>VLOOKUP(Tabla1[[#This Row],[NOMBRE CONVENCIONAL CONSTITUYENTE]],all!$A$2:$B$156,2,FALSE)</f>
        <v>49</v>
      </c>
      <c r="C50" s="48" t="str">
        <f>VLOOKUP(Tabla1[[#This Row],[id]],apellido_nombre!$J$2:$K$155,2,FALSE)</f>
        <v>Loncón, Elisa</v>
      </c>
      <c r="D50" s="7" t="s">
        <v>100</v>
      </c>
      <c r="E50" s="7">
        <v>59</v>
      </c>
      <c r="F50" s="4" t="s">
        <v>13</v>
      </c>
      <c r="G50" s="7">
        <v>29</v>
      </c>
      <c r="H50" s="4" t="s">
        <v>8</v>
      </c>
      <c r="I50" s="4"/>
      <c r="J50" s="4" t="s">
        <v>9</v>
      </c>
      <c r="K50" s="4" t="s">
        <v>10</v>
      </c>
      <c r="L50" s="4"/>
      <c r="M50" s="4" t="s">
        <v>570</v>
      </c>
      <c r="N50" s="4" t="s">
        <v>25</v>
      </c>
      <c r="O50" s="4"/>
      <c r="P50" s="4" t="s">
        <v>552</v>
      </c>
    </row>
    <row r="51" spans="1:16" x14ac:dyDescent="0.35">
      <c r="A51" s="4" t="s">
        <v>271</v>
      </c>
      <c r="B51" s="48">
        <f>VLOOKUP(Tabla1[[#This Row],[NOMBRE CONVENCIONAL CONSTITUYENTE]],all!$A$2:$B$156,2,FALSE)</f>
        <v>50</v>
      </c>
      <c r="C51" s="48" t="str">
        <f>VLOOKUP(Tabla1[[#This Row],[id]],apellido_nombre!$J$2:$K$155,2,FALSE)</f>
        <v>Labraña, Elsa</v>
      </c>
      <c r="D51" s="7" t="s">
        <v>101</v>
      </c>
      <c r="E51" s="7">
        <v>47</v>
      </c>
      <c r="F51" s="4" t="s">
        <v>13</v>
      </c>
      <c r="G51" s="7">
        <v>17</v>
      </c>
      <c r="H51" s="4" t="s">
        <v>14</v>
      </c>
      <c r="I51" s="4" t="s">
        <v>576</v>
      </c>
      <c r="J51" s="4"/>
      <c r="K51" s="4" t="s">
        <v>67</v>
      </c>
      <c r="L51" s="4" t="s">
        <v>16</v>
      </c>
      <c r="M51" s="4" t="s">
        <v>559</v>
      </c>
      <c r="N51" s="4" t="s">
        <v>21</v>
      </c>
      <c r="O51" s="4"/>
      <c r="P51" s="4" t="s">
        <v>553</v>
      </c>
    </row>
    <row r="52" spans="1:16" x14ac:dyDescent="0.35">
      <c r="A52" s="4" t="s">
        <v>272</v>
      </c>
      <c r="B52" s="48">
        <f>VLOOKUP(Tabla1[[#This Row],[NOMBRE CONVENCIONAL CONSTITUYENTE]],all!$A$2:$B$156,2,FALSE)</f>
        <v>51</v>
      </c>
      <c r="C52" s="48" t="str">
        <f>VLOOKUP(Tabla1[[#This Row],[id]],apellido_nombre!$J$2:$K$155,2,FALSE)</f>
        <v>Chinga, Eric</v>
      </c>
      <c r="D52" s="7" t="s">
        <v>102</v>
      </c>
      <c r="E52" s="7">
        <v>51</v>
      </c>
      <c r="F52" s="4" t="s">
        <v>7</v>
      </c>
      <c r="G52" s="7">
        <v>29</v>
      </c>
      <c r="H52" s="4" t="s">
        <v>8</v>
      </c>
      <c r="I52" s="4"/>
      <c r="J52" s="4" t="s">
        <v>103</v>
      </c>
      <c r="K52" s="4" t="s">
        <v>10</v>
      </c>
      <c r="L52" s="4"/>
      <c r="M52" s="4" t="s">
        <v>559</v>
      </c>
      <c r="N52" s="4" t="s">
        <v>11</v>
      </c>
      <c r="O52" s="4"/>
      <c r="P52" s="4" t="s">
        <v>551</v>
      </c>
    </row>
    <row r="53" spans="1:16" x14ac:dyDescent="0.35">
      <c r="A53" s="4" t="s">
        <v>273</v>
      </c>
      <c r="B53" s="48">
        <f>VLOOKUP(Tabla1[[#This Row],[NOMBRE CONVENCIONAL CONSTITUYENTE]],all!$A$2:$B$156,2,FALSE)</f>
        <v>52</v>
      </c>
      <c r="C53" s="48" t="str">
        <f>VLOOKUP(Tabla1[[#This Row],[id]],apellido_nombre!$J$2:$K$155,2,FALSE)</f>
        <v>Portilla, Ericka</v>
      </c>
      <c r="D53" s="7" t="s">
        <v>104</v>
      </c>
      <c r="E53" s="7">
        <v>37</v>
      </c>
      <c r="F53" s="4" t="s">
        <v>13</v>
      </c>
      <c r="G53" s="7">
        <v>4</v>
      </c>
      <c r="H53" s="4" t="s">
        <v>43</v>
      </c>
      <c r="I53" s="4"/>
      <c r="J53" s="4"/>
      <c r="K53" s="4" t="s">
        <v>53</v>
      </c>
      <c r="L53" s="4" t="s">
        <v>54</v>
      </c>
      <c r="M53" s="4" t="s">
        <v>559</v>
      </c>
      <c r="N53" s="4" t="s">
        <v>25</v>
      </c>
      <c r="O53" s="4"/>
      <c r="P53" s="4" t="s">
        <v>553</v>
      </c>
    </row>
    <row r="54" spans="1:16" x14ac:dyDescent="0.35">
      <c r="A54" s="4" t="s">
        <v>274</v>
      </c>
      <c r="B54" s="48">
        <f>VLOOKUP(Tabla1[[#This Row],[NOMBRE CONVENCIONAL CONSTITUYENTE]],all!$A$2:$B$156,2,FALSE)</f>
        <v>53</v>
      </c>
      <c r="C54" s="48" t="str">
        <f>VLOOKUP(Tabla1[[#This Row],[id]],apellido_nombre!$J$2:$K$155,2,FALSE)</f>
        <v>Harboe, Felipe</v>
      </c>
      <c r="D54" s="7" t="s">
        <v>105</v>
      </c>
      <c r="E54" s="7">
        <v>49</v>
      </c>
      <c r="F54" s="4" t="s">
        <v>7</v>
      </c>
      <c r="G54" s="7">
        <v>19</v>
      </c>
      <c r="H54" s="4" t="s">
        <v>18</v>
      </c>
      <c r="I54" s="4"/>
      <c r="J54" s="4"/>
      <c r="K54" s="4" t="s">
        <v>23</v>
      </c>
      <c r="L54" s="4" t="s">
        <v>98</v>
      </c>
      <c r="M54" s="4" t="s">
        <v>569</v>
      </c>
      <c r="N54" s="4" t="s">
        <v>21</v>
      </c>
      <c r="O54" s="4"/>
      <c r="P54" s="4" t="s">
        <v>551</v>
      </c>
    </row>
    <row r="55" spans="1:16" x14ac:dyDescent="0.35">
      <c r="A55" s="4" t="s">
        <v>275</v>
      </c>
      <c r="B55" s="48">
        <f>VLOOKUP(Tabla1[[#This Row],[NOMBRE CONVENCIONAL CONSTITUYENTE]],all!$A$2:$B$156,2,FALSE)</f>
        <v>54</v>
      </c>
      <c r="C55" s="48" t="str">
        <f>VLOOKUP(Tabla1[[#This Row],[id]],apellido_nombre!$J$2:$K$155,2,FALSE)</f>
        <v>Mena, Felipe</v>
      </c>
      <c r="D55" s="7" t="s">
        <v>106</v>
      </c>
      <c r="E55" s="7">
        <v>39</v>
      </c>
      <c r="F55" s="4" t="s">
        <v>7</v>
      </c>
      <c r="G55" s="7">
        <v>14</v>
      </c>
      <c r="H55" s="4" t="s">
        <v>35</v>
      </c>
      <c r="I55" s="4"/>
      <c r="J55" s="4"/>
      <c r="K55" s="4" t="s">
        <v>36</v>
      </c>
      <c r="L55" s="4" t="s">
        <v>70</v>
      </c>
      <c r="M55" s="4" t="s">
        <v>559</v>
      </c>
      <c r="N55" s="4" t="s">
        <v>11</v>
      </c>
      <c r="O55" s="4"/>
      <c r="P55" s="4" t="s">
        <v>550</v>
      </c>
    </row>
    <row r="56" spans="1:16" x14ac:dyDescent="0.35">
      <c r="A56" s="4" t="s">
        <v>276</v>
      </c>
      <c r="B56" s="48">
        <f>VLOOKUP(Tabla1[[#This Row],[NOMBRE CONVENCIONAL CONSTITUYENTE]],all!$A$2:$B$156,2,FALSE)</f>
        <v>55</v>
      </c>
      <c r="C56" s="48" t="str">
        <f>VLOOKUP(Tabla1[[#This Row],[id]],apellido_nombre!$J$2:$K$155,2,FALSE)</f>
        <v>Galleguillos, Félix</v>
      </c>
      <c r="D56" s="7" t="s">
        <v>107</v>
      </c>
      <c r="E56" s="7">
        <v>36</v>
      </c>
      <c r="F56" s="4" t="s">
        <v>7</v>
      </c>
      <c r="G56" s="7">
        <v>29</v>
      </c>
      <c r="H56" s="4" t="s">
        <v>8</v>
      </c>
      <c r="I56" s="4"/>
      <c r="J56" s="4" t="s">
        <v>108</v>
      </c>
      <c r="K56" s="4" t="s">
        <v>10</v>
      </c>
      <c r="L56" s="4"/>
      <c r="M56" s="4" t="s">
        <v>564</v>
      </c>
      <c r="N56" s="4" t="s">
        <v>63</v>
      </c>
      <c r="O56" s="4"/>
      <c r="P56" s="4" t="s">
        <v>550</v>
      </c>
    </row>
    <row r="57" spans="1:16" x14ac:dyDescent="0.35">
      <c r="A57" s="4" t="s">
        <v>277</v>
      </c>
      <c r="B57" s="48">
        <f>VLOOKUP(Tabla1[[#This Row],[NOMBRE CONVENCIONAL CONSTITUYENTE]],all!$A$2:$B$156,2,FALSE)</f>
        <v>56</v>
      </c>
      <c r="C57" s="48" t="str">
        <f>VLOOKUP(Tabla1[[#This Row],[id]],apellido_nombre!$J$2:$K$155,2,FALSE)</f>
        <v>Atria, Fernando</v>
      </c>
      <c r="D57" s="7" t="s">
        <v>109</v>
      </c>
      <c r="E57" s="7">
        <v>53</v>
      </c>
      <c r="F57" s="4" t="s">
        <v>7</v>
      </c>
      <c r="G57" s="7">
        <v>10</v>
      </c>
      <c r="H57" s="4" t="s">
        <v>43</v>
      </c>
      <c r="I57" s="4"/>
      <c r="J57" s="4"/>
      <c r="K57" s="4" t="s">
        <v>44</v>
      </c>
      <c r="L57" s="4" t="s">
        <v>49</v>
      </c>
      <c r="M57" s="4" t="s">
        <v>557</v>
      </c>
      <c r="N57" s="4" t="s">
        <v>29</v>
      </c>
      <c r="O57" s="4"/>
      <c r="P57" s="4" t="s">
        <v>551</v>
      </c>
    </row>
    <row r="58" spans="1:16" x14ac:dyDescent="0.35">
      <c r="A58" s="4" t="s">
        <v>278</v>
      </c>
      <c r="B58" s="48">
        <f>VLOOKUP(Tabla1[[#This Row],[NOMBRE CONVENCIONAL CONSTITUYENTE]],all!$A$2:$B$156,2,FALSE)</f>
        <v>57</v>
      </c>
      <c r="C58" s="48" t="str">
        <f>VLOOKUP(Tabla1[[#This Row],[id]],apellido_nombre!$J$2:$K$155,2,FALSE)</f>
        <v>Salinas, Fernando</v>
      </c>
      <c r="D58" s="7" t="s">
        <v>110</v>
      </c>
      <c r="E58" s="7">
        <v>66</v>
      </c>
      <c r="F58" s="4" t="s">
        <v>7</v>
      </c>
      <c r="G58" s="7">
        <v>18</v>
      </c>
      <c r="H58" s="4" t="s">
        <v>14</v>
      </c>
      <c r="I58" s="4" t="s">
        <v>576</v>
      </c>
      <c r="J58" s="4"/>
      <c r="K58" s="4" t="s">
        <v>67</v>
      </c>
      <c r="L58" s="4" t="s">
        <v>16</v>
      </c>
      <c r="M58" s="4" t="s">
        <v>566</v>
      </c>
      <c r="N58" s="4" t="s">
        <v>63</v>
      </c>
      <c r="O58" s="4"/>
      <c r="P58" s="4" t="s">
        <v>552</v>
      </c>
    </row>
    <row r="59" spans="1:16" x14ac:dyDescent="0.35">
      <c r="A59" s="4" t="s">
        <v>279</v>
      </c>
      <c r="B59" s="48">
        <f>VLOOKUP(Tabla1[[#This Row],[NOMBRE CONVENCIONAL CONSTITUYENTE]],all!$A$2:$B$156,2,FALSE)</f>
        <v>58</v>
      </c>
      <c r="C59" s="48" t="str">
        <f>VLOOKUP(Tabla1[[#This Row],[id]],apellido_nombre!$J$2:$K$155,2,FALSE)</f>
        <v>Tirado, Fernando</v>
      </c>
      <c r="D59" s="7" t="s">
        <v>111</v>
      </c>
      <c r="E59" s="7">
        <v>68</v>
      </c>
      <c r="F59" s="4" t="s">
        <v>7</v>
      </c>
      <c r="G59" s="7">
        <v>29</v>
      </c>
      <c r="H59" s="4" t="s">
        <v>8</v>
      </c>
      <c r="I59" s="4"/>
      <c r="J59" s="4" t="s">
        <v>112</v>
      </c>
      <c r="K59" s="4" t="s">
        <v>10</v>
      </c>
      <c r="L59" s="4"/>
      <c r="M59" s="4" t="s">
        <v>554</v>
      </c>
      <c r="N59" s="4" t="s">
        <v>21</v>
      </c>
      <c r="O59" s="4"/>
      <c r="P59" s="4" t="s">
        <v>553</v>
      </c>
    </row>
    <row r="60" spans="1:16" x14ac:dyDescent="0.35">
      <c r="A60" s="4" t="s">
        <v>280</v>
      </c>
      <c r="B60" s="48">
        <f>VLOOKUP(Tabla1[[#This Row],[NOMBRE CONVENCIONAL CONSTITUYENTE]],all!$A$2:$B$156,2,FALSE)</f>
        <v>59</v>
      </c>
      <c r="C60" s="48" t="str">
        <f>VLOOKUP(Tabla1[[#This Row],[id]],apellido_nombre!$J$2:$K$155,2,FALSE)</f>
        <v>Linconao, Francisca</v>
      </c>
      <c r="D60" s="7" t="s">
        <v>113</v>
      </c>
      <c r="E60" s="7">
        <v>65</v>
      </c>
      <c r="F60" s="4" t="s">
        <v>13</v>
      </c>
      <c r="G60" s="7">
        <v>29</v>
      </c>
      <c r="H60" s="4" t="s">
        <v>8</v>
      </c>
      <c r="I60" s="4"/>
      <c r="J60" s="4" t="s">
        <v>9</v>
      </c>
      <c r="K60" s="4" t="s">
        <v>10</v>
      </c>
      <c r="L60" s="4"/>
      <c r="M60" s="4" t="s">
        <v>569</v>
      </c>
      <c r="N60" s="4" t="s">
        <v>21</v>
      </c>
      <c r="O60" s="4"/>
      <c r="P60" s="4" t="s">
        <v>553</v>
      </c>
    </row>
    <row r="61" spans="1:16" x14ac:dyDescent="0.35">
      <c r="A61" s="4" t="s">
        <v>281</v>
      </c>
      <c r="B61" s="48">
        <f>VLOOKUP(Tabla1[[#This Row],[NOMBRE CONVENCIONAL CONSTITUYENTE]],all!$A$2:$B$156,2,FALSE)</f>
        <v>60</v>
      </c>
      <c r="C61" s="48" t="str">
        <f>VLOOKUP(Tabla1[[#This Row],[id]],apellido_nombre!$J$2:$K$155,2,FALSE)</f>
        <v>Arauna, Francisca</v>
      </c>
      <c r="D61" s="7" t="s">
        <v>114</v>
      </c>
      <c r="E61" s="7">
        <v>31</v>
      </c>
      <c r="F61" s="4" t="s">
        <v>13</v>
      </c>
      <c r="G61" s="7">
        <v>18</v>
      </c>
      <c r="H61" s="4" t="s">
        <v>14</v>
      </c>
      <c r="I61" s="4" t="s">
        <v>576</v>
      </c>
      <c r="J61" s="4"/>
      <c r="K61" s="4" t="s">
        <v>67</v>
      </c>
      <c r="L61" s="4" t="s">
        <v>16</v>
      </c>
      <c r="M61" s="4" t="s">
        <v>564</v>
      </c>
      <c r="N61" s="4" t="s">
        <v>29</v>
      </c>
      <c r="O61" s="4"/>
      <c r="P61" s="4" t="s">
        <v>551</v>
      </c>
    </row>
    <row r="62" spans="1:16" x14ac:dyDescent="0.35">
      <c r="A62" s="4" t="s">
        <v>282</v>
      </c>
      <c r="B62" s="48">
        <f>VLOOKUP(Tabla1[[#This Row],[NOMBRE CONVENCIONAL CONSTITUYENTE]],all!$A$2:$B$156,2,FALSE)</f>
        <v>61</v>
      </c>
      <c r="C62" s="48" t="str">
        <f>VLOOKUP(Tabla1[[#This Row],[id]],apellido_nombre!$J$2:$K$155,2,FALSE)</f>
        <v>Caamaño, Francisco</v>
      </c>
      <c r="D62" s="7" t="s">
        <v>115</v>
      </c>
      <c r="E62" s="7">
        <v>32</v>
      </c>
      <c r="F62" s="4" t="s">
        <v>7</v>
      </c>
      <c r="G62" s="7">
        <v>14</v>
      </c>
      <c r="H62" s="4" t="s">
        <v>14</v>
      </c>
      <c r="I62" s="4" t="s">
        <v>576</v>
      </c>
      <c r="J62" s="4"/>
      <c r="K62" s="4" t="s">
        <v>67</v>
      </c>
      <c r="L62" s="4" t="s">
        <v>16</v>
      </c>
      <c r="M62" s="4" t="s">
        <v>563</v>
      </c>
      <c r="N62" s="4" t="s">
        <v>33</v>
      </c>
      <c r="O62" s="4"/>
      <c r="P62" s="4" t="s">
        <v>553</v>
      </c>
    </row>
    <row r="63" spans="1:16" x14ac:dyDescent="0.35">
      <c r="A63" s="4" t="s">
        <v>283</v>
      </c>
      <c r="B63" s="48">
        <f>VLOOKUP(Tabla1[[#This Row],[NOMBRE CONVENCIONAL CONSTITUYENTE]],all!$A$2:$B$156,2,FALSE)</f>
        <v>62</v>
      </c>
      <c r="C63" s="48" t="str">
        <f>VLOOKUP(Tabla1[[#This Row],[id]],apellido_nombre!$J$2:$K$155,2,FALSE)</f>
        <v>Chahín, Fuad</v>
      </c>
      <c r="D63" s="7" t="s">
        <v>116</v>
      </c>
      <c r="E63" s="7">
        <v>45</v>
      </c>
      <c r="F63" s="4" t="s">
        <v>7</v>
      </c>
      <c r="G63" s="7">
        <v>22</v>
      </c>
      <c r="H63" s="4" t="s">
        <v>18</v>
      </c>
      <c r="I63" s="4"/>
      <c r="J63" s="4"/>
      <c r="K63" s="4" t="s">
        <v>23</v>
      </c>
      <c r="L63" s="4" t="s">
        <v>117</v>
      </c>
      <c r="M63" s="4" t="s">
        <v>557</v>
      </c>
      <c r="N63" s="4" t="s">
        <v>29</v>
      </c>
      <c r="O63" s="4"/>
      <c r="P63" s="4" t="s">
        <v>550</v>
      </c>
    </row>
    <row r="64" spans="1:16" x14ac:dyDescent="0.35">
      <c r="A64" s="4" t="s">
        <v>284</v>
      </c>
      <c r="B64" s="48">
        <f>VLOOKUP(Tabla1[[#This Row],[NOMBRE CONVENCIONAL CONSTITUYENTE]],all!$A$2:$B$156,2,FALSE)</f>
        <v>63</v>
      </c>
      <c r="C64" s="48" t="str">
        <f>VLOOKUP(Tabla1[[#This Row],[id]],apellido_nombre!$J$2:$K$155,2,FALSE)</f>
        <v>Domínguez, Gaspar</v>
      </c>
      <c r="D64" s="7" t="s">
        <v>118</v>
      </c>
      <c r="E64" s="7">
        <v>33</v>
      </c>
      <c r="F64" s="4" t="s">
        <v>7</v>
      </c>
      <c r="G64" s="7">
        <v>26</v>
      </c>
      <c r="H64" s="4" t="s">
        <v>58</v>
      </c>
      <c r="I64" s="4"/>
      <c r="J64" s="4"/>
      <c r="K64" s="4" t="s">
        <v>59</v>
      </c>
      <c r="L64" s="4" t="s">
        <v>16</v>
      </c>
      <c r="M64" s="4" t="s">
        <v>566</v>
      </c>
      <c r="N64" s="4" t="s">
        <v>21</v>
      </c>
      <c r="O64" s="4"/>
      <c r="P64" s="4" t="s">
        <v>553</v>
      </c>
    </row>
    <row r="65" spans="1:16" x14ac:dyDescent="0.35">
      <c r="A65" s="4" t="s">
        <v>285</v>
      </c>
      <c r="B65" s="48">
        <f>VLOOKUP(Tabla1[[#This Row],[NOMBRE CONVENCIONAL CONSTITUYENTE]],all!$A$2:$B$156,2,FALSE)</f>
        <v>64</v>
      </c>
      <c r="C65" s="48" t="str">
        <f>VLOOKUP(Tabla1[[#This Row],[id]],apellido_nombre!$J$2:$K$155,2,FALSE)</f>
        <v>Navarrete, Geoconda</v>
      </c>
      <c r="D65" s="7" t="s">
        <v>119</v>
      </c>
      <c r="E65" s="7">
        <v>52</v>
      </c>
      <c r="F65" s="4" t="s">
        <v>13</v>
      </c>
      <c r="G65" s="7">
        <v>27</v>
      </c>
      <c r="H65" s="4" t="s">
        <v>35</v>
      </c>
      <c r="I65" s="4"/>
      <c r="J65" s="4"/>
      <c r="K65" s="4" t="s">
        <v>36</v>
      </c>
      <c r="L65" s="4" t="s">
        <v>120</v>
      </c>
      <c r="M65" s="4" t="s">
        <v>559</v>
      </c>
      <c r="N65" s="4" t="s">
        <v>11</v>
      </c>
      <c r="O65" s="4"/>
      <c r="P65" s="4" t="s">
        <v>553</v>
      </c>
    </row>
    <row r="66" spans="1:16" x14ac:dyDescent="0.35">
      <c r="A66" s="4" t="s">
        <v>286</v>
      </c>
      <c r="B66" s="48">
        <f>VLOOKUP(Tabla1[[#This Row],[NOMBRE CONVENCIONAL CONSTITUYENTE]],all!$A$2:$B$156,2,FALSE)</f>
        <v>65</v>
      </c>
      <c r="C66" s="48" t="str">
        <f>VLOOKUP(Tabla1[[#This Row],[id]],apellido_nombre!$J$2:$K$155,2,FALSE)</f>
        <v>Roa, Giovanna</v>
      </c>
      <c r="D66" s="7" t="s">
        <v>121</v>
      </c>
      <c r="E66" s="7">
        <v>35</v>
      </c>
      <c r="F66" s="4" t="s">
        <v>13</v>
      </c>
      <c r="G66" s="7">
        <v>10</v>
      </c>
      <c r="H66" s="4" t="s">
        <v>43</v>
      </c>
      <c r="I66" s="4"/>
      <c r="J66" s="4"/>
      <c r="K66" s="4" t="s">
        <v>44</v>
      </c>
      <c r="L66" s="4" t="s">
        <v>45</v>
      </c>
      <c r="M66" s="4" t="s">
        <v>569</v>
      </c>
      <c r="N66" s="4" t="s">
        <v>25</v>
      </c>
      <c r="O66" s="4"/>
      <c r="P66" s="4" t="s">
        <v>553</v>
      </c>
    </row>
    <row r="67" spans="1:16" x14ac:dyDescent="0.35">
      <c r="A67" s="4" t="s">
        <v>287</v>
      </c>
      <c r="B67" s="48">
        <f>VLOOKUP(Tabla1[[#This Row],[NOMBRE CONVENCIONAL CONSTITUYENTE]],all!$A$2:$B$156,2,FALSE)</f>
        <v>66</v>
      </c>
      <c r="C67" s="48" t="str">
        <f>VLOOKUP(Tabla1[[#This Row],[id]],apellido_nombre!$J$2:$K$155,2,FALSE)</f>
        <v>Grandón, Giovanna</v>
      </c>
      <c r="D67" s="7" t="s">
        <v>122</v>
      </c>
      <c r="E67" s="7">
        <v>47</v>
      </c>
      <c r="F67" s="4" t="s">
        <v>13</v>
      </c>
      <c r="G67" s="7">
        <v>12</v>
      </c>
      <c r="H67" s="4" t="s">
        <v>14</v>
      </c>
      <c r="I67" s="4"/>
      <c r="J67" s="4"/>
      <c r="K67" s="4" t="s">
        <v>31</v>
      </c>
      <c r="L67" s="4" t="s">
        <v>16</v>
      </c>
      <c r="M67" s="4" t="s">
        <v>559</v>
      </c>
      <c r="N67" s="4" t="s">
        <v>21</v>
      </c>
      <c r="O67" s="4"/>
      <c r="P67" s="4" t="s">
        <v>553</v>
      </c>
    </row>
    <row r="68" spans="1:16" x14ac:dyDescent="0.35">
      <c r="A68" s="4" t="s">
        <v>288</v>
      </c>
      <c r="B68" s="48">
        <f>VLOOKUP(Tabla1[[#This Row],[NOMBRE CONVENCIONAL CONSTITUYENTE]],all!$A$2:$B$156,2,FALSE)</f>
        <v>67</v>
      </c>
      <c r="C68" s="48" t="str">
        <f>VLOOKUP(Tabla1[[#This Row],[id]],apellido_nombre!$J$2:$K$155,2,FALSE)</f>
        <v>Alvarado, Gloria</v>
      </c>
      <c r="D68" s="7" t="s">
        <v>123</v>
      </c>
      <c r="E68" s="7">
        <v>59</v>
      </c>
      <c r="F68" s="4" t="s">
        <v>13</v>
      </c>
      <c r="G68" s="7">
        <v>16</v>
      </c>
      <c r="H68" s="4" t="s">
        <v>27</v>
      </c>
      <c r="I68" s="4" t="s">
        <v>577</v>
      </c>
      <c r="J68" s="4"/>
      <c r="K68" s="4" t="s">
        <v>28</v>
      </c>
      <c r="L68" s="4" t="s">
        <v>16</v>
      </c>
      <c r="M68" s="4" t="s">
        <v>563</v>
      </c>
      <c r="N68" s="4" t="s">
        <v>63</v>
      </c>
      <c r="O68" s="4"/>
      <c r="P68" s="4" t="s">
        <v>553</v>
      </c>
    </row>
    <row r="69" spans="1:16" x14ac:dyDescent="0.35">
      <c r="A69" s="4" t="s">
        <v>289</v>
      </c>
      <c r="B69" s="48">
        <f>VLOOKUP(Tabla1[[#This Row],[NOMBRE CONVENCIONAL CONSTITUYENTE]],all!$A$2:$B$156,2,FALSE)</f>
        <v>68</v>
      </c>
      <c r="C69" s="48" t="str">
        <f>VLOOKUP(Tabla1[[#This Row],[id]],apellido_nombre!$J$2:$K$155,2,FALSE)</f>
        <v>Namor, Guillermo</v>
      </c>
      <c r="D69" s="7" t="s">
        <v>124</v>
      </c>
      <c r="E69" s="7">
        <v>25</v>
      </c>
      <c r="F69" s="4" t="s">
        <v>7</v>
      </c>
      <c r="G69" s="7">
        <v>4</v>
      </c>
      <c r="H69" s="4" t="s">
        <v>58</v>
      </c>
      <c r="I69" s="4"/>
      <c r="J69" s="4"/>
      <c r="K69" s="4" t="s">
        <v>59</v>
      </c>
      <c r="L69" s="4" t="s">
        <v>16</v>
      </c>
      <c r="M69" s="4" t="s">
        <v>557</v>
      </c>
      <c r="N69" s="4" t="s">
        <v>29</v>
      </c>
      <c r="O69" s="4"/>
      <c r="P69" s="4" t="s">
        <v>551</v>
      </c>
    </row>
    <row r="70" spans="1:16" x14ac:dyDescent="0.35">
      <c r="A70" s="4" t="s">
        <v>290</v>
      </c>
      <c r="B70" s="48">
        <f>VLOOKUP(Tabla1[[#This Row],[NOMBRE CONVENCIONAL CONSTITUYENTE]],all!$A$2:$B$156,2,FALSE)</f>
        <v>69</v>
      </c>
      <c r="C70" s="48" t="str">
        <f>VLOOKUP(Tabla1[[#This Row],[id]],apellido_nombre!$J$2:$K$155,2,FALSE)</f>
        <v>Jurgensen, Harry</v>
      </c>
      <c r="D70" s="7" t="s">
        <v>125</v>
      </c>
      <c r="E70" s="7">
        <v>79</v>
      </c>
      <c r="F70" s="4" t="s">
        <v>7</v>
      </c>
      <c r="G70" s="7">
        <v>25</v>
      </c>
      <c r="H70" s="4" t="s">
        <v>35</v>
      </c>
      <c r="I70" s="4"/>
      <c r="J70" s="4"/>
      <c r="K70" s="4" t="s">
        <v>36</v>
      </c>
      <c r="L70" s="4" t="s">
        <v>40</v>
      </c>
      <c r="M70" s="4" t="s">
        <v>566</v>
      </c>
      <c r="N70" s="4" t="s">
        <v>11</v>
      </c>
      <c r="O70" s="4"/>
      <c r="P70" s="4" t="s">
        <v>553</v>
      </c>
    </row>
    <row r="71" spans="1:16" x14ac:dyDescent="0.35">
      <c r="A71" s="4" t="s">
        <v>291</v>
      </c>
      <c r="B71" s="48">
        <f>VLOOKUP(Tabla1[[#This Row],[NOMBRE CONVENCIONAL CONSTITUYENTE]],all!$A$2:$B$156,2,FALSE)</f>
        <v>70</v>
      </c>
      <c r="C71" s="48" t="str">
        <f>VLOOKUP(Tabla1[[#This Row],[id]],apellido_nombre!$J$2:$K$155,2,FALSE)</f>
        <v>Martínez, Helmuth</v>
      </c>
      <c r="D71" s="7" t="s">
        <v>126</v>
      </c>
      <c r="E71" s="7">
        <v>35</v>
      </c>
      <c r="F71" s="4" t="s">
        <v>7</v>
      </c>
      <c r="G71" s="7">
        <v>23</v>
      </c>
      <c r="H71" s="4" t="s">
        <v>14</v>
      </c>
      <c r="I71" s="4" t="s">
        <v>16</v>
      </c>
      <c r="J71" s="4"/>
      <c r="K71" s="4" t="s">
        <v>59</v>
      </c>
      <c r="L71" s="4" t="s">
        <v>16</v>
      </c>
      <c r="M71" s="4" t="s">
        <v>557</v>
      </c>
      <c r="N71" s="4" t="s">
        <v>11</v>
      </c>
      <c r="O71" s="4"/>
      <c r="P71" s="4" t="s">
        <v>553</v>
      </c>
    </row>
    <row r="72" spans="1:16" x14ac:dyDescent="0.35">
      <c r="A72" s="4" t="s">
        <v>292</v>
      </c>
      <c r="B72" s="48">
        <f>VLOOKUP(Tabla1[[#This Row],[NOMBRE CONVENCIONAL CONSTITUYENTE]],all!$A$2:$B$156,2,FALSE)</f>
        <v>71</v>
      </c>
      <c r="C72" s="48" t="str">
        <f>VLOOKUP(Tabla1[[#This Row],[id]],apellido_nombre!$J$2:$K$155,2,FALSE)</f>
        <v>Velásquez, Hernán</v>
      </c>
      <c r="D72" s="7" t="s">
        <v>127</v>
      </c>
      <c r="E72" s="7">
        <v>56</v>
      </c>
      <c r="F72" s="4" t="s">
        <v>7</v>
      </c>
      <c r="G72" s="7">
        <v>3</v>
      </c>
      <c r="H72" s="4" t="s">
        <v>43</v>
      </c>
      <c r="I72" s="4"/>
      <c r="J72" s="4"/>
      <c r="K72" s="4" t="s">
        <v>53</v>
      </c>
      <c r="L72" s="4" t="s">
        <v>128</v>
      </c>
      <c r="M72" s="4" t="s">
        <v>566</v>
      </c>
      <c r="N72" s="4" t="s">
        <v>11</v>
      </c>
      <c r="O72" s="4"/>
      <c r="P72" s="4" t="s">
        <v>553</v>
      </c>
    </row>
    <row r="73" spans="1:16" x14ac:dyDescent="0.35">
      <c r="A73" s="4" t="s">
        <v>293</v>
      </c>
      <c r="B73" s="48">
        <f>VLOOKUP(Tabla1[[#This Row],[NOMBRE CONVENCIONAL CONSTITUYENTE]],all!$A$2:$B$156,2,FALSE)</f>
        <v>72</v>
      </c>
      <c r="C73" s="48" t="str">
        <f>VLOOKUP(Tabla1[[#This Row],[id]],apellido_nombre!$J$2:$K$155,2,FALSE)</f>
        <v>Larraín, Hernán</v>
      </c>
      <c r="D73" s="7" t="s">
        <v>129</v>
      </c>
      <c r="E73" s="7">
        <v>47</v>
      </c>
      <c r="F73" s="4" t="s">
        <v>7</v>
      </c>
      <c r="G73" s="7">
        <v>11</v>
      </c>
      <c r="H73" s="4" t="s">
        <v>35</v>
      </c>
      <c r="I73" s="4"/>
      <c r="J73" s="4"/>
      <c r="K73" s="4" t="s">
        <v>36</v>
      </c>
      <c r="L73" s="4" t="s">
        <v>120</v>
      </c>
      <c r="M73" s="4" t="s">
        <v>557</v>
      </c>
      <c r="N73" s="4" t="s">
        <v>29</v>
      </c>
      <c r="O73" s="4"/>
      <c r="P73" s="4" t="s">
        <v>551</v>
      </c>
    </row>
    <row r="74" spans="1:16" x14ac:dyDescent="0.35">
      <c r="A74" s="4" t="s">
        <v>294</v>
      </c>
      <c r="B74" s="48">
        <f>VLOOKUP(Tabla1[[#This Row],[NOMBRE CONVENCIONAL CONSTITUYENTE]],all!$A$2:$B$156,2,FALSE)</f>
        <v>73</v>
      </c>
      <c r="C74" s="48" t="str">
        <f>VLOOKUP(Tabla1[[#This Row],[id]],apellido_nombre!$J$2:$K$155,2,FALSE)</f>
        <v>Gutiérrez, Hugo</v>
      </c>
      <c r="D74" s="7" t="s">
        <v>130</v>
      </c>
      <c r="E74" s="7">
        <v>60</v>
      </c>
      <c r="F74" s="4" t="s">
        <v>7</v>
      </c>
      <c r="G74" s="7">
        <v>2</v>
      </c>
      <c r="H74" s="4" t="s">
        <v>43</v>
      </c>
      <c r="I74" s="4"/>
      <c r="J74" s="4"/>
      <c r="K74" s="4" t="s">
        <v>53</v>
      </c>
      <c r="L74" s="4" t="s">
        <v>54</v>
      </c>
      <c r="M74" s="4" t="s">
        <v>557</v>
      </c>
      <c r="N74" s="4" t="s">
        <v>47</v>
      </c>
      <c r="O74" s="4"/>
      <c r="P74" s="4" t="s">
        <v>553</v>
      </c>
    </row>
    <row r="75" spans="1:16" x14ac:dyDescent="0.35">
      <c r="A75" s="4" t="s">
        <v>295</v>
      </c>
      <c r="B75" s="48">
        <f>VLOOKUP(Tabla1[[#This Row],[NOMBRE CONVENCIONAL CONSTITUYENTE]],all!$A$2:$B$156,2,FALSE)</f>
        <v>74</v>
      </c>
      <c r="C75" s="48" t="str">
        <f>VLOOKUP(Tabla1[[#This Row],[id]],apellido_nombre!$J$2:$K$155,2,FALSE)</f>
        <v>Achurra, Ignacio</v>
      </c>
      <c r="D75" s="7" t="s">
        <v>131</v>
      </c>
      <c r="E75" s="7">
        <v>42</v>
      </c>
      <c r="F75" s="4" t="s">
        <v>7</v>
      </c>
      <c r="G75" s="7">
        <v>14</v>
      </c>
      <c r="H75" s="4" t="s">
        <v>43</v>
      </c>
      <c r="I75" s="4"/>
      <c r="J75" s="4"/>
      <c r="K75" s="4" t="s">
        <v>44</v>
      </c>
      <c r="L75" s="4" t="s">
        <v>86</v>
      </c>
      <c r="M75" s="4" t="s">
        <v>555</v>
      </c>
      <c r="N75" s="4" t="s">
        <v>33</v>
      </c>
      <c r="O75" s="4"/>
      <c r="P75" s="4" t="s">
        <v>550</v>
      </c>
    </row>
    <row r="76" spans="1:16" x14ac:dyDescent="0.35">
      <c r="A76" s="4" t="s">
        <v>296</v>
      </c>
      <c r="B76" s="48">
        <f>VLOOKUP(Tabla1[[#This Row],[NOMBRE CONVENCIONAL CONSTITUYENTE]],all!$A$2:$B$156,2,FALSE)</f>
        <v>75</v>
      </c>
      <c r="C76" s="48" t="str">
        <f>VLOOKUP(Tabla1[[#This Row],[id]],apellido_nombre!$J$2:$K$155,2,FALSE)</f>
        <v>Villena, Ingrid</v>
      </c>
      <c r="D76" s="7" t="s">
        <v>132</v>
      </c>
      <c r="E76" s="7">
        <v>31</v>
      </c>
      <c r="F76" s="4" t="s">
        <v>13</v>
      </c>
      <c r="G76" s="7">
        <v>13</v>
      </c>
      <c r="H76" s="4" t="s">
        <v>14</v>
      </c>
      <c r="I76" s="4" t="s">
        <v>576</v>
      </c>
      <c r="J76" s="4"/>
      <c r="K76" s="4" t="s">
        <v>67</v>
      </c>
      <c r="L76" s="4" t="s">
        <v>16</v>
      </c>
      <c r="M76" s="4" t="s">
        <v>557</v>
      </c>
      <c r="N76" s="4" t="s">
        <v>47</v>
      </c>
      <c r="O76" s="4"/>
      <c r="P76" s="4" t="s">
        <v>551</v>
      </c>
    </row>
    <row r="77" spans="1:16" x14ac:dyDescent="0.35">
      <c r="A77" s="4" t="s">
        <v>297</v>
      </c>
      <c r="B77" s="48">
        <f>VLOOKUP(Tabla1[[#This Row],[NOMBRE CONVENCIONAL CONSTITUYENTE]],all!$A$2:$B$156,2,FALSE)</f>
        <v>76</v>
      </c>
      <c r="C77" s="48" t="str">
        <f>VLOOKUP(Tabla1[[#This Row],[id]],apellido_nombre!$J$2:$K$155,2,FALSE)</f>
        <v>Godoy, Isabel</v>
      </c>
      <c r="D77" s="7" t="s">
        <v>133</v>
      </c>
      <c r="E77" s="7">
        <v>54</v>
      </c>
      <c r="F77" s="4" t="s">
        <v>13</v>
      </c>
      <c r="G77" s="7">
        <v>29</v>
      </c>
      <c r="H77" s="4" t="s">
        <v>8</v>
      </c>
      <c r="I77" s="4"/>
      <c r="J77" s="4" t="s">
        <v>134</v>
      </c>
      <c r="K77" s="4" t="s">
        <v>10</v>
      </c>
      <c r="L77" s="4"/>
      <c r="M77" s="4" t="s">
        <v>563</v>
      </c>
      <c r="N77" s="4" t="s">
        <v>63</v>
      </c>
      <c r="O77" s="4"/>
      <c r="P77" s="4" t="s">
        <v>553</v>
      </c>
    </row>
    <row r="78" spans="1:16" x14ac:dyDescent="0.35">
      <c r="A78" s="4" t="s">
        <v>298</v>
      </c>
      <c r="B78" s="48">
        <f>VLOOKUP(Tabla1[[#This Row],[NOMBRE CONVENCIONAL CONSTITUYENTE]],all!$A$2:$B$156,2,FALSE)</f>
        <v>77</v>
      </c>
      <c r="C78" s="48" t="str">
        <f>VLOOKUP(Tabla1[[#This Row],[id]],apellido_nombre!$J$2:$K$155,2,FALSE)</f>
        <v>Mamani, Isabella</v>
      </c>
      <c r="D78" s="7" t="s">
        <v>135</v>
      </c>
      <c r="E78" s="7">
        <v>34</v>
      </c>
      <c r="F78" s="4" t="s">
        <v>13</v>
      </c>
      <c r="G78" s="7">
        <v>29</v>
      </c>
      <c r="H78" s="4" t="s">
        <v>8</v>
      </c>
      <c r="I78" s="4"/>
      <c r="J78" s="4" t="s">
        <v>136</v>
      </c>
      <c r="K78" s="4" t="s">
        <v>10</v>
      </c>
      <c r="L78" s="4"/>
      <c r="M78" s="4" t="s">
        <v>554</v>
      </c>
      <c r="N78" s="4" t="s">
        <v>21</v>
      </c>
      <c r="O78" s="4"/>
      <c r="P78" s="4" t="s">
        <v>551</v>
      </c>
    </row>
    <row r="79" spans="1:16" x14ac:dyDescent="0.35">
      <c r="A79" s="4" t="s">
        <v>299</v>
      </c>
      <c r="B79" s="48">
        <f>VLOOKUP(Tabla1[[#This Row],[NOMBRE CONVENCIONAL CONSTITUYENTE]],all!$A$2:$B$156,2,FALSE)</f>
        <v>78</v>
      </c>
      <c r="C79" s="48" t="str">
        <f>VLOOKUP(Tabla1[[#This Row],[id]],apellido_nombre!$J$2:$K$155,2,FALSE)</f>
        <v>Olivares, Ivanna</v>
      </c>
      <c r="D79" s="7" t="s">
        <v>137</v>
      </c>
      <c r="E79" s="7">
        <v>31</v>
      </c>
      <c r="F79" s="4" t="s">
        <v>13</v>
      </c>
      <c r="G79" s="7">
        <v>5</v>
      </c>
      <c r="H79" s="4" t="s">
        <v>14</v>
      </c>
      <c r="I79" s="4" t="s">
        <v>576</v>
      </c>
      <c r="J79" s="4"/>
      <c r="K79" s="4" t="s">
        <v>67</v>
      </c>
      <c r="L79" s="4" t="s">
        <v>16</v>
      </c>
      <c r="M79" s="4" t="s">
        <v>569</v>
      </c>
      <c r="N79" s="4" t="s">
        <v>63</v>
      </c>
      <c r="O79" s="4"/>
      <c r="P79" s="4" t="s">
        <v>551</v>
      </c>
    </row>
    <row r="80" spans="1:16" x14ac:dyDescent="0.35">
      <c r="A80" s="4" t="s">
        <v>300</v>
      </c>
      <c r="B80" s="48">
        <f>VLOOKUP(Tabla1[[#This Row],[NOMBRE CONVENCIONAL CONSTITUYENTE]],all!$A$2:$B$156,2,FALSE)</f>
        <v>79</v>
      </c>
      <c r="C80" s="48" t="str">
        <f>VLOOKUP(Tabla1[[#This Row],[id]],apellido_nombre!$J$2:$K$155,2,FALSE)</f>
        <v>Bassa, Jaime</v>
      </c>
      <c r="D80" s="7" t="s">
        <v>138</v>
      </c>
      <c r="E80" s="7">
        <v>45</v>
      </c>
      <c r="F80" s="4" t="s">
        <v>7</v>
      </c>
      <c r="G80" s="7">
        <v>7</v>
      </c>
      <c r="H80" s="4" t="s">
        <v>43</v>
      </c>
      <c r="I80" s="4"/>
      <c r="J80" s="4"/>
      <c r="K80" s="4" t="s">
        <v>44</v>
      </c>
      <c r="L80" s="4" t="s">
        <v>92</v>
      </c>
      <c r="M80" s="4" t="s">
        <v>571</v>
      </c>
      <c r="N80" s="4" t="s">
        <v>29</v>
      </c>
      <c r="O80" s="4"/>
      <c r="P80" s="4" t="s">
        <v>550</v>
      </c>
    </row>
    <row r="81" spans="1:16" x14ac:dyDescent="0.35">
      <c r="A81" s="4" t="s">
        <v>301</v>
      </c>
      <c r="B81" s="48">
        <f>VLOOKUP(Tabla1[[#This Row],[NOMBRE CONVENCIONAL CONSTITUYENTE]],all!$A$2:$B$156,2,FALSE)</f>
        <v>80</v>
      </c>
      <c r="C81" s="48" t="str">
        <f>VLOOKUP(Tabla1[[#This Row],[id]],apellido_nombre!$J$2:$K$155,2,FALSE)</f>
        <v>Meneses, Janis</v>
      </c>
      <c r="D81" s="7" t="s">
        <v>139</v>
      </c>
      <c r="E81" s="7">
        <v>32</v>
      </c>
      <c r="F81" s="4" t="s">
        <v>13</v>
      </c>
      <c r="G81" s="7">
        <v>6</v>
      </c>
      <c r="H81" s="4" t="s">
        <v>27</v>
      </c>
      <c r="I81" s="4" t="s">
        <v>577</v>
      </c>
      <c r="J81" s="4"/>
      <c r="K81" s="4" t="s">
        <v>28</v>
      </c>
      <c r="L81" s="4" t="s">
        <v>16</v>
      </c>
      <c r="M81" s="4" t="s">
        <v>557</v>
      </c>
      <c r="N81" s="4" t="s">
        <v>21</v>
      </c>
      <c r="O81" s="4"/>
      <c r="P81" s="4" t="s">
        <v>551</v>
      </c>
    </row>
    <row r="82" spans="1:16" x14ac:dyDescent="0.35">
      <c r="A82" s="4" t="s">
        <v>302</v>
      </c>
      <c r="B82" s="48">
        <f>VLOOKUP(Tabla1[[#This Row],[NOMBRE CONVENCIONAL CONSTITUYENTE]],all!$A$2:$B$156,2,FALSE)</f>
        <v>81</v>
      </c>
      <c r="C82" s="48" t="str">
        <f>VLOOKUP(Tabla1[[#This Row],[id]],apellido_nombre!$J$2:$K$155,2,FALSE)</f>
        <v>Fuchslocher, Javier</v>
      </c>
      <c r="D82" s="7" t="s">
        <v>140</v>
      </c>
      <c r="E82" s="7">
        <v>33</v>
      </c>
      <c r="F82" s="4" t="s">
        <v>7</v>
      </c>
      <c r="G82" s="7">
        <v>21</v>
      </c>
      <c r="H82" s="4" t="s">
        <v>58</v>
      </c>
      <c r="I82" s="4"/>
      <c r="J82" s="4"/>
      <c r="K82" s="4" t="s">
        <v>59</v>
      </c>
      <c r="L82" s="4" t="s">
        <v>16</v>
      </c>
      <c r="M82" s="4" t="s">
        <v>559</v>
      </c>
      <c r="N82" s="4" t="s">
        <v>21</v>
      </c>
      <c r="O82" s="4"/>
      <c r="P82" s="4" t="s">
        <v>550</v>
      </c>
    </row>
    <row r="83" spans="1:16" x14ac:dyDescent="0.35">
      <c r="A83" s="4" t="s">
        <v>303</v>
      </c>
      <c r="B83" s="48">
        <f>VLOOKUP(Tabla1[[#This Row],[NOMBRE CONVENCIONAL CONSTITUYENTE]],all!$A$2:$B$156,2,FALSE)</f>
        <v>82</v>
      </c>
      <c r="C83" s="48" t="str">
        <f>VLOOKUP(Tabla1[[#This Row],[id]],apellido_nombre!$J$2:$K$155,2,FALSE)</f>
        <v>Mella, Jeniffer</v>
      </c>
      <c r="D83" s="7" t="s">
        <v>141</v>
      </c>
      <c r="E83" s="7">
        <v>41</v>
      </c>
      <c r="F83" s="4" t="s">
        <v>13</v>
      </c>
      <c r="G83" s="7">
        <v>5</v>
      </c>
      <c r="H83" s="4" t="s">
        <v>43</v>
      </c>
      <c r="I83" s="4"/>
      <c r="J83" s="4"/>
      <c r="K83" s="4" t="s">
        <v>44</v>
      </c>
      <c r="L83" s="4" t="s">
        <v>92</v>
      </c>
      <c r="M83" s="4" t="s">
        <v>556</v>
      </c>
      <c r="N83" s="4" t="s">
        <v>11</v>
      </c>
      <c r="O83" s="4"/>
      <c r="P83" s="4" t="s">
        <v>550</v>
      </c>
    </row>
    <row r="84" spans="1:16" x14ac:dyDescent="0.35">
      <c r="A84" s="4" t="s">
        <v>304</v>
      </c>
      <c r="B84" s="48">
        <f>VLOOKUP(Tabla1[[#This Row],[NOMBRE CONVENCIONAL CONSTITUYENTE]],all!$A$2:$B$156,2,FALSE)</f>
        <v>83</v>
      </c>
      <c r="C84" s="48" t="str">
        <f>VLOOKUP(Tabla1[[#This Row],[id]],apellido_nombre!$J$2:$K$155,2,FALSE)</f>
        <v>Abarca, Jorge</v>
      </c>
      <c r="D84" s="7" t="s">
        <v>142</v>
      </c>
      <c r="E84" s="7">
        <v>55</v>
      </c>
      <c r="F84" s="4" t="s">
        <v>7</v>
      </c>
      <c r="G84" s="7">
        <v>1</v>
      </c>
      <c r="H84" s="4" t="s">
        <v>18</v>
      </c>
      <c r="I84" s="4"/>
      <c r="J84" s="4"/>
      <c r="K84" s="4" t="s">
        <v>59</v>
      </c>
      <c r="L84" s="4" t="s">
        <v>24</v>
      </c>
      <c r="M84" s="4" t="s">
        <v>566</v>
      </c>
      <c r="N84" s="4" t="s">
        <v>63</v>
      </c>
      <c r="O84" s="4"/>
      <c r="P84" s="4" t="s">
        <v>552</v>
      </c>
    </row>
    <row r="85" spans="1:16" x14ac:dyDescent="0.35">
      <c r="A85" s="4" t="s">
        <v>305</v>
      </c>
      <c r="B85" s="48">
        <f>VLOOKUP(Tabla1[[#This Row],[NOMBRE CONVENCIONAL CONSTITUYENTE]],all!$A$2:$B$156,2,FALSE)</f>
        <v>84</v>
      </c>
      <c r="C85" s="48" t="str">
        <f>VLOOKUP(Tabla1[[#This Row],[id]],apellido_nombre!$J$2:$K$155,2,FALSE)</f>
        <v>Baradit, Jorge</v>
      </c>
      <c r="D85" s="7" t="s">
        <v>143</v>
      </c>
      <c r="E85" s="7">
        <v>52</v>
      </c>
      <c r="F85" s="4" t="s">
        <v>7</v>
      </c>
      <c r="G85" s="7">
        <v>10</v>
      </c>
      <c r="H85" s="4" t="s">
        <v>18</v>
      </c>
      <c r="I85" s="4"/>
      <c r="J85" s="4"/>
      <c r="K85" s="4" t="s">
        <v>44</v>
      </c>
      <c r="L85" s="4" t="s">
        <v>20</v>
      </c>
      <c r="M85" s="4" t="s">
        <v>559</v>
      </c>
      <c r="N85" s="4" t="s">
        <v>25</v>
      </c>
      <c r="O85" s="4"/>
      <c r="P85" s="4" t="s">
        <v>552</v>
      </c>
    </row>
    <row r="86" spans="1:16" x14ac:dyDescent="0.35">
      <c r="A86" s="4" t="s">
        <v>572</v>
      </c>
      <c r="B86" s="48">
        <f>VLOOKUP(Tabla1[[#This Row],[NOMBRE CONVENCIONAL CONSTITUYENTE]],all!$A$2:$B$156,2,FALSE)</f>
        <v>85</v>
      </c>
      <c r="C86" s="48" t="str">
        <f>VLOOKUP(Tabla1[[#This Row],[id]],apellido_nombre!$J$2:$K$155,2,FALSE)</f>
        <v>Arancibia, Jorge</v>
      </c>
      <c r="D86" s="7" t="s">
        <v>144</v>
      </c>
      <c r="E86" s="7">
        <v>58</v>
      </c>
      <c r="F86" s="4" t="s">
        <v>7</v>
      </c>
      <c r="G86" s="7">
        <v>7</v>
      </c>
      <c r="H86" s="4" t="s">
        <v>35</v>
      </c>
      <c r="I86" s="4"/>
      <c r="J86" s="4"/>
      <c r="K86" s="4" t="s">
        <v>36</v>
      </c>
      <c r="L86" s="4" t="s">
        <v>37</v>
      </c>
      <c r="M86" s="4" t="s">
        <v>569</v>
      </c>
      <c r="N86" s="4" t="s">
        <v>11</v>
      </c>
      <c r="O86" s="4"/>
      <c r="P86" s="4" t="s">
        <v>553</v>
      </c>
    </row>
    <row r="87" spans="1:16" x14ac:dyDescent="0.35">
      <c r="A87" s="4" t="s">
        <v>306</v>
      </c>
      <c r="B87" s="48">
        <f>VLOOKUP(Tabla1[[#This Row],[NOMBRE CONVENCIONAL CONSTITUYENTE]],all!$A$2:$B$156,2,FALSE)</f>
        <v>86</v>
      </c>
      <c r="C87" s="48" t="str">
        <f>VLOOKUP(Tabla1[[#This Row],[id]],apellido_nombre!$J$2:$K$155,2,FALSE)</f>
        <v>Martín, Juan José</v>
      </c>
      <c r="D87" s="7" t="s">
        <v>145</v>
      </c>
      <c r="E87" s="7">
        <v>54</v>
      </c>
      <c r="F87" s="4" t="s">
        <v>7</v>
      </c>
      <c r="G87" s="7">
        <v>12</v>
      </c>
      <c r="H87" s="4" t="s">
        <v>58</v>
      </c>
      <c r="I87" s="4"/>
      <c r="J87" s="4"/>
      <c r="K87" s="4" t="s">
        <v>59</v>
      </c>
      <c r="L87" s="4" t="s">
        <v>16</v>
      </c>
      <c r="M87" s="4" t="s">
        <v>569</v>
      </c>
      <c r="N87" s="4" t="s">
        <v>63</v>
      </c>
      <c r="O87" s="4"/>
      <c r="P87" s="4" t="s">
        <v>553</v>
      </c>
    </row>
    <row r="88" spans="1:16" x14ac:dyDescent="0.35">
      <c r="A88" s="4" t="s">
        <v>307</v>
      </c>
      <c r="B88" s="48">
        <f>VLOOKUP(Tabla1[[#This Row],[NOMBRE CONVENCIONAL CONSTITUYENTE]],all!$A$2:$B$156,2,FALSE)</f>
        <v>87</v>
      </c>
      <c r="C88" s="48" t="str">
        <f>VLOOKUP(Tabla1[[#This Row],[id]],apellido_nombre!$J$2:$K$155,2,FALSE)</f>
        <v>Alvarez, Julio</v>
      </c>
      <c r="D88" s="7" t="s">
        <v>146</v>
      </c>
      <c r="E88" s="7">
        <v>57</v>
      </c>
      <c r="F88" s="4" t="s">
        <v>7</v>
      </c>
      <c r="G88" s="7">
        <v>26</v>
      </c>
      <c r="H88" s="4" t="s">
        <v>18</v>
      </c>
      <c r="I88" s="4"/>
      <c r="J88" s="4"/>
      <c r="K88" s="4" t="s">
        <v>19</v>
      </c>
      <c r="L88" s="4" t="s">
        <v>77</v>
      </c>
      <c r="M88" s="4" t="s">
        <v>566</v>
      </c>
      <c r="N88" s="4" t="s">
        <v>11</v>
      </c>
      <c r="O88" s="4"/>
      <c r="P88" s="4" t="s">
        <v>550</v>
      </c>
    </row>
    <row r="89" spans="1:16" x14ac:dyDescent="0.35">
      <c r="A89" s="4" t="s">
        <v>308</v>
      </c>
      <c r="B89" s="48">
        <f>VLOOKUP(Tabla1[[#This Row],[NOMBRE CONVENCIONAL CONSTITUYENTE]],all!$A$2:$B$156,2,FALSE)</f>
        <v>88</v>
      </c>
      <c r="C89" s="48" t="str">
        <f>VLOOKUP(Tabla1[[#This Row],[id]],apellido_nombre!$J$2:$K$155,2,FALSE)</f>
        <v>Montealegre, Katerine</v>
      </c>
      <c r="D89" s="7" t="s">
        <v>147</v>
      </c>
      <c r="E89" s="7">
        <v>31</v>
      </c>
      <c r="F89" s="4" t="s">
        <v>13</v>
      </c>
      <c r="G89" s="7">
        <v>26</v>
      </c>
      <c r="H89" s="4" t="s">
        <v>35</v>
      </c>
      <c r="I89" s="4"/>
      <c r="J89" s="4"/>
      <c r="K89" s="4" t="s">
        <v>36</v>
      </c>
      <c r="L89" s="4" t="s">
        <v>70</v>
      </c>
      <c r="M89" s="4" t="s">
        <v>564</v>
      </c>
      <c r="N89" s="4" t="s">
        <v>21</v>
      </c>
      <c r="O89" s="4"/>
      <c r="P89" s="4" t="s">
        <v>551</v>
      </c>
    </row>
    <row r="90" spans="1:16" x14ac:dyDescent="0.35">
      <c r="A90" s="4" t="s">
        <v>309</v>
      </c>
      <c r="B90" s="48">
        <f>VLOOKUP(Tabla1[[#This Row],[NOMBRE CONVENCIONAL CONSTITUYENTE]],all!$A$2:$B$156,2,FALSE)</f>
        <v>89</v>
      </c>
      <c r="C90" s="48" t="str">
        <f>VLOOKUP(Tabla1[[#This Row],[id]],apellido_nombre!$J$2:$K$155,2,FALSE)</f>
        <v>González, Lidia</v>
      </c>
      <c r="D90" s="7" t="s">
        <v>148</v>
      </c>
      <c r="E90" s="7">
        <v>55</v>
      </c>
      <c r="F90" s="4" t="s">
        <v>13</v>
      </c>
      <c r="G90" s="7">
        <v>29</v>
      </c>
      <c r="H90" s="4" t="s">
        <v>8</v>
      </c>
      <c r="I90" s="4"/>
      <c r="J90" s="4" t="s">
        <v>149</v>
      </c>
      <c r="K90" s="4" t="s">
        <v>10</v>
      </c>
      <c r="L90" s="4"/>
      <c r="M90" s="4" t="s">
        <v>564</v>
      </c>
      <c r="N90" s="4" t="s">
        <v>21</v>
      </c>
      <c r="O90" s="4"/>
      <c r="P90" s="4" t="s">
        <v>550</v>
      </c>
    </row>
    <row r="91" spans="1:16" x14ac:dyDescent="0.35">
      <c r="A91" s="4" t="s">
        <v>310</v>
      </c>
      <c r="B91" s="48">
        <f>VLOOKUP(Tabla1[[#This Row],[NOMBRE CONVENCIONAL CONSTITUYENTE]],all!$A$2:$B$156,2,FALSE)</f>
        <v>90</v>
      </c>
      <c r="C91" s="48" t="str">
        <f>VLOOKUP(Tabla1[[#This Row],[id]],apellido_nombre!$J$2:$K$155,2,FALSE)</f>
        <v>Vergara, Lisette</v>
      </c>
      <c r="D91" s="7" t="s">
        <v>150</v>
      </c>
      <c r="E91" s="7">
        <v>29</v>
      </c>
      <c r="F91" s="4" t="s">
        <v>13</v>
      </c>
      <c r="G91" s="7">
        <v>6</v>
      </c>
      <c r="H91" s="4" t="s">
        <v>14</v>
      </c>
      <c r="I91" s="4" t="s">
        <v>576</v>
      </c>
      <c r="J91" s="4"/>
      <c r="K91" s="4" t="s">
        <v>67</v>
      </c>
      <c r="L91" s="4" t="s">
        <v>16</v>
      </c>
      <c r="M91" s="4" t="s">
        <v>559</v>
      </c>
      <c r="N91" s="4" t="s">
        <v>25</v>
      </c>
      <c r="O91" s="4"/>
      <c r="P91" s="4" t="s">
        <v>552</v>
      </c>
    </row>
    <row r="92" spans="1:16" x14ac:dyDescent="0.35">
      <c r="A92" s="4" t="s">
        <v>311</v>
      </c>
      <c r="B92" s="48">
        <f>VLOOKUP(Tabla1[[#This Row],[NOMBRE CONVENCIONAL CONSTITUYENTE]],all!$A$2:$B$156,2,FALSE)</f>
        <v>91</v>
      </c>
      <c r="C92" s="48" t="str">
        <f>VLOOKUP(Tabla1[[#This Row],[id]],apellido_nombre!$J$2:$K$155,2,FALSE)</f>
        <v>Céspedes, Lorena</v>
      </c>
      <c r="D92" s="7" t="s">
        <v>151</v>
      </c>
      <c r="E92" s="7">
        <v>48</v>
      </c>
      <c r="F92" s="4" t="s">
        <v>13</v>
      </c>
      <c r="G92" s="7">
        <v>23</v>
      </c>
      <c r="H92" s="4" t="s">
        <v>58</v>
      </c>
      <c r="I92" s="4"/>
      <c r="J92" s="4"/>
      <c r="K92" s="4" t="s">
        <v>59</v>
      </c>
      <c r="L92" s="4" t="s">
        <v>16</v>
      </c>
      <c r="M92" s="4" t="s">
        <v>563</v>
      </c>
      <c r="N92" s="4" t="s">
        <v>25</v>
      </c>
      <c r="O92" s="4"/>
      <c r="P92" s="4" t="s">
        <v>550</v>
      </c>
    </row>
    <row r="93" spans="1:16" x14ac:dyDescent="0.35">
      <c r="A93" s="4" t="s">
        <v>312</v>
      </c>
      <c r="B93" s="48">
        <f>VLOOKUP(Tabla1[[#This Row],[NOMBRE CONVENCIONAL CONSTITUYENTE]],all!$A$2:$B$156,2,FALSE)</f>
        <v>92</v>
      </c>
      <c r="C93" s="48" t="str">
        <f>VLOOKUP(Tabla1[[#This Row],[id]],apellido_nombre!$J$2:$K$155,2,FALSE)</f>
        <v>Vallejos, Loreto</v>
      </c>
      <c r="D93" s="7" t="s">
        <v>152</v>
      </c>
      <c r="E93" s="7">
        <v>42</v>
      </c>
      <c r="F93" s="4" t="s">
        <v>13</v>
      </c>
      <c r="G93" s="7">
        <v>15</v>
      </c>
      <c r="H93" s="4" t="s">
        <v>14</v>
      </c>
      <c r="I93" s="4" t="s">
        <v>576</v>
      </c>
      <c r="J93" s="4"/>
      <c r="K93" s="4" t="s">
        <v>67</v>
      </c>
      <c r="L93" s="4" t="s">
        <v>16</v>
      </c>
      <c r="M93" s="4" t="s">
        <v>564</v>
      </c>
      <c r="N93" s="4" t="s">
        <v>25</v>
      </c>
      <c r="O93" s="4"/>
      <c r="P93" s="4" t="s">
        <v>550</v>
      </c>
    </row>
    <row r="94" spans="1:16" x14ac:dyDescent="0.35">
      <c r="A94" s="4" t="s">
        <v>313</v>
      </c>
      <c r="B94" s="48">
        <f>VLOOKUP(Tabla1[[#This Row],[NOMBRE CONVENCIONAL CONSTITUYENTE]],all!$A$2:$B$156,2,FALSE)</f>
        <v>93</v>
      </c>
      <c r="C94" s="48" t="str">
        <f>VLOOKUP(Tabla1[[#This Row],[id]],apellido_nombre!$J$2:$K$155,2,FALSE)</f>
        <v>Silva, Luciano</v>
      </c>
      <c r="D94" s="7" t="s">
        <v>153</v>
      </c>
      <c r="E94" s="7">
        <v>51</v>
      </c>
      <c r="F94" s="4" t="s">
        <v>7</v>
      </c>
      <c r="G94" s="7">
        <v>20</v>
      </c>
      <c r="H94" s="4" t="s">
        <v>35</v>
      </c>
      <c r="I94" s="4"/>
      <c r="J94" s="4"/>
      <c r="K94" s="4" t="s">
        <v>36</v>
      </c>
      <c r="L94" s="4" t="s">
        <v>40</v>
      </c>
      <c r="M94" s="4" t="s">
        <v>564</v>
      </c>
      <c r="N94" s="4" t="s">
        <v>25</v>
      </c>
      <c r="O94" s="4"/>
      <c r="P94" s="4" t="s">
        <v>553</v>
      </c>
    </row>
    <row r="95" spans="1:16" x14ac:dyDescent="0.35">
      <c r="A95" s="4" t="s">
        <v>314</v>
      </c>
      <c r="B95" s="48">
        <f>VLOOKUP(Tabla1[[#This Row],[NOMBRE CONVENCIONAL CONSTITUYENTE]],all!$A$2:$B$156,2,FALSE)</f>
        <v>94</v>
      </c>
      <c r="C95" s="48" t="str">
        <f>VLOOKUP(Tabla1[[#This Row],[id]],apellido_nombre!$J$2:$K$155,2,FALSE)</f>
        <v>Jiménez, Luis</v>
      </c>
      <c r="D95" s="7" t="s">
        <v>154</v>
      </c>
      <c r="E95" s="7">
        <v>38</v>
      </c>
      <c r="F95" s="4" t="s">
        <v>7</v>
      </c>
      <c r="G95" s="7">
        <v>29</v>
      </c>
      <c r="H95" s="4" t="s">
        <v>8</v>
      </c>
      <c r="I95" s="4"/>
      <c r="J95" s="4" t="s">
        <v>136</v>
      </c>
      <c r="K95" s="4" t="s">
        <v>10</v>
      </c>
      <c r="L95" s="4"/>
      <c r="M95" s="4" t="s">
        <v>557</v>
      </c>
      <c r="N95" s="4" t="s">
        <v>47</v>
      </c>
      <c r="O95" s="4"/>
      <c r="P95" s="4" t="s">
        <v>551</v>
      </c>
    </row>
    <row r="96" spans="1:16" x14ac:dyDescent="0.35">
      <c r="A96" s="4" t="s">
        <v>315</v>
      </c>
      <c r="B96" s="48">
        <f>VLOOKUP(Tabla1[[#This Row],[NOMBRE CONVENCIONAL CONSTITUYENTE]],all!$A$2:$B$156,2,FALSE)</f>
        <v>95</v>
      </c>
      <c r="C96" s="48" t="str">
        <f>VLOOKUP(Tabla1[[#This Row],[id]],apellido_nombre!$J$2:$K$155,2,FALSE)</f>
        <v>Mayol, Luis</v>
      </c>
      <c r="D96" s="7" t="s">
        <v>155</v>
      </c>
      <c r="E96" s="7">
        <v>69</v>
      </c>
      <c r="F96" s="4" t="s">
        <v>7</v>
      </c>
      <c r="G96" s="7">
        <v>23</v>
      </c>
      <c r="H96" s="4" t="s">
        <v>35</v>
      </c>
      <c r="I96" s="4"/>
      <c r="J96" s="4"/>
      <c r="K96" s="4" t="s">
        <v>36</v>
      </c>
      <c r="L96" s="4" t="s">
        <v>40</v>
      </c>
      <c r="M96" s="4" t="s">
        <v>563</v>
      </c>
      <c r="N96" s="4" t="s">
        <v>47</v>
      </c>
      <c r="O96" s="4"/>
      <c r="P96" s="4" t="s">
        <v>553</v>
      </c>
    </row>
    <row r="97" spans="1:16" x14ac:dyDescent="0.35">
      <c r="A97" s="4" t="s">
        <v>316</v>
      </c>
      <c r="B97" s="48">
        <f>VLOOKUP(Tabla1[[#This Row],[NOMBRE CONVENCIONAL CONSTITUYENTE]],all!$A$2:$B$156,2,FALSE)</f>
        <v>96</v>
      </c>
      <c r="C97" s="48" t="str">
        <f>VLOOKUP(Tabla1[[#This Row],[id]],apellido_nombre!$J$2:$K$155,2,FALSE)</f>
        <v>Zúñiga, Luis Arturo</v>
      </c>
      <c r="D97" s="7" t="s">
        <v>156</v>
      </c>
      <c r="E97" s="7">
        <v>39</v>
      </c>
      <c r="F97" s="4" t="s">
        <v>7</v>
      </c>
      <c r="G97" s="7">
        <v>9</v>
      </c>
      <c r="H97" s="4" t="s">
        <v>35</v>
      </c>
      <c r="I97" s="4"/>
      <c r="J97" s="4"/>
      <c r="K97" s="4" t="s">
        <v>36</v>
      </c>
      <c r="L97" s="4" t="s">
        <v>70</v>
      </c>
      <c r="M97" s="4" t="s">
        <v>564</v>
      </c>
      <c r="N97" s="4" t="s">
        <v>29</v>
      </c>
      <c r="O97" s="4"/>
      <c r="P97" s="4" t="s">
        <v>551</v>
      </c>
    </row>
    <row r="98" spans="1:16" x14ac:dyDescent="0.35">
      <c r="A98" s="4" t="s">
        <v>317</v>
      </c>
      <c r="B98" s="48">
        <f>VLOOKUP(Tabla1[[#This Row],[NOMBRE CONVENCIONAL CONSTITUYENTE]],all!$A$2:$B$156,2,FALSE)</f>
        <v>97</v>
      </c>
      <c r="C98" s="48" t="str">
        <f>VLOOKUP(Tabla1[[#This Row],[id]],apellido_nombre!$J$2:$K$155,2,FALSE)</f>
        <v>Barceló, Luis</v>
      </c>
      <c r="D98" s="7" t="s">
        <v>157</v>
      </c>
      <c r="E98" s="7">
        <v>68</v>
      </c>
      <c r="F98" s="4" t="s">
        <v>7</v>
      </c>
      <c r="G98" s="7">
        <v>21</v>
      </c>
      <c r="H98" s="4" t="s">
        <v>18</v>
      </c>
      <c r="I98" s="4"/>
      <c r="J98" s="4"/>
      <c r="K98" s="4" t="s">
        <v>23</v>
      </c>
      <c r="L98" s="4" t="s">
        <v>158</v>
      </c>
      <c r="M98" s="4"/>
      <c r="N98" s="4" t="s">
        <v>21</v>
      </c>
      <c r="O98" s="4"/>
      <c r="P98" s="4" t="s">
        <v>552</v>
      </c>
    </row>
    <row r="99" spans="1:16" x14ac:dyDescent="0.35">
      <c r="A99" s="4" t="s">
        <v>318</v>
      </c>
      <c r="B99" s="48">
        <f>VLOOKUP(Tabla1[[#This Row],[NOMBRE CONVENCIONAL CONSTITUYENTE]],all!$A$2:$B$156,2,FALSE)</f>
        <v>98</v>
      </c>
      <c r="C99" s="48" t="str">
        <f>VLOOKUP(Tabla1[[#This Row],[id]],apellido_nombre!$J$2:$K$155,2,FALSE)</f>
        <v>Pinto, Malucha</v>
      </c>
      <c r="D99" s="7" t="s">
        <v>159</v>
      </c>
      <c r="E99" s="7">
        <v>67</v>
      </c>
      <c r="F99" s="4" t="s">
        <v>13</v>
      </c>
      <c r="G99" s="7">
        <v>13</v>
      </c>
      <c r="H99" s="4" t="s">
        <v>18</v>
      </c>
      <c r="I99" s="4"/>
      <c r="J99" s="4"/>
      <c r="K99" s="4" t="s">
        <v>19</v>
      </c>
      <c r="L99" s="4" t="s">
        <v>77</v>
      </c>
      <c r="M99" s="4" t="s">
        <v>559</v>
      </c>
      <c r="N99" s="4" t="s">
        <v>33</v>
      </c>
      <c r="O99" s="4"/>
      <c r="P99" s="4" t="s">
        <v>553</v>
      </c>
    </row>
    <row r="100" spans="1:16" x14ac:dyDescent="0.35">
      <c r="A100" s="4" t="s">
        <v>319</v>
      </c>
      <c r="B100" s="48">
        <f>VLOOKUP(Tabla1[[#This Row],[NOMBRE CONVENCIONAL CONSTITUYENTE]],all!$A$2:$B$156,2,FALSE)</f>
        <v>99</v>
      </c>
      <c r="C100" s="48" t="str">
        <f>VLOOKUP(Tabla1[[#This Row],[id]],apellido_nombre!$J$2:$K$155,2,FALSE)</f>
        <v>Ossandón, Manuel</v>
      </c>
      <c r="D100" s="7" t="s">
        <v>160</v>
      </c>
      <c r="E100" s="7">
        <v>34</v>
      </c>
      <c r="F100" s="4" t="s">
        <v>7</v>
      </c>
      <c r="G100" s="7">
        <v>12</v>
      </c>
      <c r="H100" s="4" t="s">
        <v>35</v>
      </c>
      <c r="I100" s="4"/>
      <c r="J100" s="4"/>
      <c r="K100" s="4" t="s">
        <v>36</v>
      </c>
      <c r="L100" s="4" t="s">
        <v>62</v>
      </c>
      <c r="M100" s="4" t="s">
        <v>554</v>
      </c>
      <c r="N100" s="4" t="s">
        <v>21</v>
      </c>
      <c r="O100" s="4"/>
      <c r="P100" s="4" t="s">
        <v>553</v>
      </c>
    </row>
    <row r="101" spans="1:16" x14ac:dyDescent="0.35">
      <c r="A101" s="4" t="s">
        <v>320</v>
      </c>
      <c r="B101" s="48">
        <f>VLOOKUP(Tabla1[[#This Row],[NOMBRE CONVENCIONAL CONSTITUYENTE]],all!$A$2:$B$156,2,FALSE)</f>
        <v>100</v>
      </c>
      <c r="C101" s="48" t="str">
        <f>VLOOKUP(Tabla1[[#This Row],[id]],apellido_nombre!$J$2:$K$155,2,FALSE)</f>
        <v>Woldarsky, Manuel</v>
      </c>
      <c r="D101" s="7" t="s">
        <v>161</v>
      </c>
      <c r="E101" s="7">
        <v>38</v>
      </c>
      <c r="F101" s="4" t="s">
        <v>7</v>
      </c>
      <c r="G101" s="7">
        <v>10</v>
      </c>
      <c r="H101" s="4" t="s">
        <v>14</v>
      </c>
      <c r="I101" s="4" t="s">
        <v>576</v>
      </c>
      <c r="J101" s="4"/>
      <c r="K101" s="4" t="s">
        <v>31</v>
      </c>
      <c r="L101" s="4" t="s">
        <v>16</v>
      </c>
      <c r="M101" s="4" t="s">
        <v>574</v>
      </c>
      <c r="N101" s="4" t="s">
        <v>47</v>
      </c>
      <c r="O101" s="4"/>
      <c r="P101" s="4" t="s">
        <v>551</v>
      </c>
    </row>
    <row r="102" spans="1:16" x14ac:dyDescent="0.35">
      <c r="A102" s="4" t="s">
        <v>321</v>
      </c>
      <c r="B102" s="48">
        <f>VLOOKUP(Tabla1[[#This Row],[NOMBRE CONVENCIONAL CONSTITUYENTE]],all!$A$2:$B$156,2,FALSE)</f>
        <v>101</v>
      </c>
      <c r="C102" s="48" t="str">
        <f>VLOOKUP(Tabla1[[#This Row],[id]],apellido_nombre!$J$2:$K$155,2,FALSE)</f>
        <v>Royo, Manuela</v>
      </c>
      <c r="D102" s="7" t="s">
        <v>162</v>
      </c>
      <c r="E102" s="7">
        <v>39</v>
      </c>
      <c r="F102" s="4" t="s">
        <v>13</v>
      </c>
      <c r="G102" s="7">
        <v>23</v>
      </c>
      <c r="H102" s="4" t="s">
        <v>43</v>
      </c>
      <c r="I102" s="4" t="s">
        <v>577</v>
      </c>
      <c r="J102" s="4"/>
      <c r="K102" s="4" t="s">
        <v>28</v>
      </c>
      <c r="L102" s="4" t="s">
        <v>163</v>
      </c>
      <c r="M102" s="4" t="s">
        <v>569</v>
      </c>
      <c r="N102" s="4" t="s">
        <v>47</v>
      </c>
      <c r="O102" s="4"/>
      <c r="P102" s="4" t="s">
        <v>551</v>
      </c>
    </row>
    <row r="103" spans="1:16" x14ac:dyDescent="0.35">
      <c r="A103" s="4" t="s">
        <v>322</v>
      </c>
      <c r="B103" s="48">
        <f>VLOOKUP(Tabla1[[#This Row],[NOMBRE CONVENCIONAL CONSTITUYENTE]],all!$A$2:$B$156,2,FALSE)</f>
        <v>102</v>
      </c>
      <c r="C103" s="48" t="str">
        <f>VLOOKUP(Tabla1[[#This Row],[id]],apellido_nombre!$J$2:$K$155,2,FALSE)</f>
        <v>Cubillos, Marcela</v>
      </c>
      <c r="D103" s="7" t="s">
        <v>164</v>
      </c>
      <c r="E103" s="7">
        <v>55</v>
      </c>
      <c r="F103" s="4" t="s">
        <v>13</v>
      </c>
      <c r="G103" s="7">
        <v>11</v>
      </c>
      <c r="H103" s="4" t="s">
        <v>35</v>
      </c>
      <c r="I103" s="4"/>
      <c r="J103" s="4"/>
      <c r="K103" s="4" t="s">
        <v>36</v>
      </c>
      <c r="L103" s="4" t="s">
        <v>37</v>
      </c>
      <c r="M103" s="4" t="s">
        <v>557</v>
      </c>
      <c r="N103" s="4" t="s">
        <v>29</v>
      </c>
      <c r="O103" s="4"/>
      <c r="P103" s="4" t="s">
        <v>553</v>
      </c>
    </row>
    <row r="104" spans="1:16" x14ac:dyDescent="0.35">
      <c r="A104" s="4" t="s">
        <v>323</v>
      </c>
      <c r="B104" s="48">
        <f>VLOOKUP(Tabla1[[#This Row],[NOMBRE CONVENCIONAL CONSTITUYENTE]],all!$A$2:$B$156,2,FALSE)</f>
        <v>103</v>
      </c>
      <c r="C104" s="48" t="str">
        <f>VLOOKUP(Tabla1[[#This Row],[id]],apellido_nombre!$J$2:$K$155,2,FALSE)</f>
        <v>Arellano, Marco</v>
      </c>
      <c r="D104" s="7" t="s">
        <v>165</v>
      </c>
      <c r="E104" s="7">
        <v>32</v>
      </c>
      <c r="F104" s="4" t="s">
        <v>7</v>
      </c>
      <c r="G104" s="7">
        <v>8</v>
      </c>
      <c r="H104" s="4" t="s">
        <v>14</v>
      </c>
      <c r="I104" s="4" t="s">
        <v>576</v>
      </c>
      <c r="J104" s="4"/>
      <c r="K104" s="4" t="s">
        <v>67</v>
      </c>
      <c r="L104" s="4" t="s">
        <v>16</v>
      </c>
      <c r="M104" s="4" t="s">
        <v>559</v>
      </c>
      <c r="N104" s="4" t="s">
        <v>29</v>
      </c>
      <c r="O104" s="4"/>
      <c r="P104" s="4" t="s">
        <v>550</v>
      </c>
    </row>
    <row r="105" spans="1:16" x14ac:dyDescent="0.35">
      <c r="A105" s="4" t="s">
        <v>324</v>
      </c>
      <c r="B105" s="48">
        <f>VLOOKUP(Tabla1[[#This Row],[NOMBRE CONVENCIONAL CONSTITUYENTE]],all!$A$2:$B$156,2,FALSE)</f>
        <v>104</v>
      </c>
      <c r="C105" s="48" t="str">
        <f>VLOOKUP(Tabla1[[#This Row],[id]],apellido_nombre!$J$2:$K$155,2,FALSE)</f>
        <v>Barraza, Marcos</v>
      </c>
      <c r="D105" s="7" t="s">
        <v>166</v>
      </c>
      <c r="E105" s="7">
        <v>49</v>
      </c>
      <c r="F105" s="4" t="s">
        <v>7</v>
      </c>
      <c r="G105" s="7">
        <v>13</v>
      </c>
      <c r="H105" s="4" t="s">
        <v>43</v>
      </c>
      <c r="I105" s="4"/>
      <c r="J105" s="4"/>
      <c r="K105" s="4" t="s">
        <v>53</v>
      </c>
      <c r="L105" s="4" t="s">
        <v>54</v>
      </c>
      <c r="M105" s="4" t="s">
        <v>564</v>
      </c>
      <c r="N105" s="4" t="s">
        <v>29</v>
      </c>
      <c r="O105" s="4"/>
      <c r="P105" s="4" t="s">
        <v>550</v>
      </c>
    </row>
    <row r="106" spans="1:16" x14ac:dyDescent="0.35">
      <c r="A106" s="4" t="s">
        <v>325</v>
      </c>
      <c r="B106" s="48">
        <f>VLOOKUP(Tabla1[[#This Row],[NOMBRE CONVENCIONAL CONSTITUYENTE]],all!$A$2:$B$156,2,FALSE)</f>
        <v>105</v>
      </c>
      <c r="C106" s="48" t="str">
        <f>VLOOKUP(Tabla1[[#This Row],[id]],apellido_nombre!$J$2:$K$155,2,FALSE)</f>
        <v>Vargas, Margarita</v>
      </c>
      <c r="D106" s="7" t="s">
        <v>167</v>
      </c>
      <c r="E106" s="7">
        <v>52</v>
      </c>
      <c r="F106" s="4" t="s">
        <v>13</v>
      </c>
      <c r="G106" s="7">
        <v>29</v>
      </c>
      <c r="H106" s="4" t="s">
        <v>8</v>
      </c>
      <c r="I106" s="4"/>
      <c r="J106" s="4" t="s">
        <v>168</v>
      </c>
      <c r="K106" s="4" t="s">
        <v>10</v>
      </c>
      <c r="L106" s="4"/>
      <c r="M106" s="4" t="s">
        <v>563</v>
      </c>
      <c r="N106" s="4" t="s">
        <v>33</v>
      </c>
      <c r="O106" s="4"/>
      <c r="P106" s="4" t="s">
        <v>553</v>
      </c>
    </row>
    <row r="107" spans="1:16" x14ac:dyDescent="0.35">
      <c r="A107" s="4" t="s">
        <v>326</v>
      </c>
      <c r="B107" s="48">
        <f>VLOOKUP(Tabla1[[#This Row],[NOMBRE CONVENCIONAL CONSTITUYENTE]],all!$A$2:$B$156,2,FALSE)</f>
        <v>106</v>
      </c>
      <c r="C107" s="48" t="str">
        <f>VLOOKUP(Tabla1[[#This Row],[id]],apellido_nombre!$J$2:$K$155,2,FALSE)</f>
        <v>Tepper, María Angélica</v>
      </c>
      <c r="D107" s="7" t="s">
        <v>169</v>
      </c>
      <c r="E107" s="7">
        <v>61</v>
      </c>
      <c r="F107" s="4" t="s">
        <v>13</v>
      </c>
      <c r="G107" s="7">
        <v>23</v>
      </c>
      <c r="H107" s="4" t="s">
        <v>35</v>
      </c>
      <c r="I107" s="4"/>
      <c r="J107" s="4"/>
      <c r="K107" s="4" t="s">
        <v>36</v>
      </c>
      <c r="L107" s="4" t="s">
        <v>62</v>
      </c>
      <c r="M107" s="4" t="s">
        <v>554</v>
      </c>
      <c r="N107" s="4" t="s">
        <v>33</v>
      </c>
      <c r="O107" s="4"/>
      <c r="P107" s="4" t="s">
        <v>553</v>
      </c>
    </row>
    <row r="108" spans="1:16" x14ac:dyDescent="0.35">
      <c r="A108" s="4" t="s">
        <v>327</v>
      </c>
      <c r="B108" s="48">
        <f>VLOOKUP(Tabla1[[#This Row],[NOMBRE CONVENCIONAL CONSTITUYENTE]],all!$A$2:$B$156,2,FALSE)</f>
        <v>107</v>
      </c>
      <c r="C108" s="48" t="str">
        <f>VLOOKUP(Tabla1[[#This Row],[id]],apellido_nombre!$J$2:$K$155,2,FALSE)</f>
        <v>Ubilla, María Cecilia</v>
      </c>
      <c r="D108" s="7" t="s">
        <v>170</v>
      </c>
      <c r="E108" s="7">
        <v>66</v>
      </c>
      <c r="F108" s="4" t="s">
        <v>13</v>
      </c>
      <c r="G108" s="7">
        <v>25</v>
      </c>
      <c r="H108" s="4" t="s">
        <v>35</v>
      </c>
      <c r="I108" s="4"/>
      <c r="J108" s="4"/>
      <c r="K108" s="4" t="s">
        <v>36</v>
      </c>
      <c r="L108" s="4" t="s">
        <v>37</v>
      </c>
      <c r="M108" s="4" t="s">
        <v>554</v>
      </c>
      <c r="N108" s="4" t="s">
        <v>25</v>
      </c>
      <c r="O108" s="4"/>
      <c r="P108" s="4" t="s">
        <v>553</v>
      </c>
    </row>
    <row r="109" spans="1:16" x14ac:dyDescent="0.35">
      <c r="A109" s="4" t="s">
        <v>328</v>
      </c>
      <c r="B109" s="48">
        <f>VLOOKUP(Tabla1[[#This Row],[NOMBRE CONVENCIONAL CONSTITUYENTE]],all!$A$2:$B$156,2,FALSE)</f>
        <v>108</v>
      </c>
      <c r="C109" s="48" t="str">
        <f>VLOOKUP(Tabla1[[#This Row],[id]],apellido_nombre!$J$2:$K$155,2,FALSE)</f>
        <v>Quinteros, María Elisa</v>
      </c>
      <c r="D109" s="7" t="s">
        <v>171</v>
      </c>
      <c r="E109" s="7">
        <v>40</v>
      </c>
      <c r="F109" s="4" t="s">
        <v>13</v>
      </c>
      <c r="G109" s="7">
        <v>17</v>
      </c>
      <c r="H109" s="4" t="s">
        <v>27</v>
      </c>
      <c r="I109" s="4" t="s">
        <v>577</v>
      </c>
      <c r="J109" s="4"/>
      <c r="K109" s="4" t="s">
        <v>28</v>
      </c>
      <c r="L109" s="4" t="s">
        <v>16</v>
      </c>
      <c r="M109" s="4" t="s">
        <v>564</v>
      </c>
      <c r="N109" s="4" t="s">
        <v>21</v>
      </c>
      <c r="O109" s="4"/>
      <c r="P109" s="4" t="s">
        <v>551</v>
      </c>
    </row>
    <row r="110" spans="1:16" x14ac:dyDescent="0.35">
      <c r="A110" s="4" t="s">
        <v>329</v>
      </c>
      <c r="B110" s="48">
        <f>VLOOKUP(Tabla1[[#This Row],[NOMBRE CONVENCIONAL CONSTITUYENTE]],all!$A$2:$B$156,2,FALSE)</f>
        <v>109</v>
      </c>
      <c r="C110" s="48" t="str">
        <f>VLOOKUP(Tabla1[[#This Row],[id]],apellido_nombre!$J$2:$K$155,2,FALSE)</f>
        <v>Oyarzún, María José</v>
      </c>
      <c r="D110" s="7" t="s">
        <v>172</v>
      </c>
      <c r="E110" s="7">
        <v>39</v>
      </c>
      <c r="F110" s="4" t="s">
        <v>13</v>
      </c>
      <c r="G110" s="7">
        <v>7</v>
      </c>
      <c r="H110" s="4" t="s">
        <v>43</v>
      </c>
      <c r="I110" s="4"/>
      <c r="J110" s="4"/>
      <c r="K110" s="4" t="s">
        <v>44</v>
      </c>
      <c r="L110" s="4" t="s">
        <v>45</v>
      </c>
      <c r="M110" s="4" t="s">
        <v>563</v>
      </c>
      <c r="N110" s="4" t="s">
        <v>25</v>
      </c>
      <c r="O110" s="4"/>
      <c r="P110" s="4" t="s">
        <v>552</v>
      </c>
    </row>
    <row r="111" spans="1:16" x14ac:dyDescent="0.35">
      <c r="A111" s="4" t="s">
        <v>330</v>
      </c>
      <c r="B111" s="48">
        <f>VLOOKUP(Tabla1[[#This Row],[NOMBRE CONVENCIONAL CONSTITUYENTE]],all!$A$2:$B$156,2,FALSE)</f>
        <v>110</v>
      </c>
      <c r="C111" s="48" t="str">
        <f>VLOOKUP(Tabla1[[#This Row],[id]],apellido_nombre!$J$2:$K$155,2,FALSE)</f>
        <v>Rivera, María Magdalena</v>
      </c>
      <c r="D111" s="7" t="s">
        <v>173</v>
      </c>
      <c r="E111" s="7">
        <v>64</v>
      </c>
      <c r="F111" s="4" t="s">
        <v>13</v>
      </c>
      <c r="G111" s="7">
        <v>8</v>
      </c>
      <c r="H111" s="4" t="s">
        <v>14</v>
      </c>
      <c r="I111" s="4" t="s">
        <v>576</v>
      </c>
      <c r="J111" s="4"/>
      <c r="K111" s="4" t="s">
        <v>67</v>
      </c>
      <c r="L111" s="4" t="s">
        <v>16</v>
      </c>
      <c r="M111" s="4" t="s">
        <v>569</v>
      </c>
      <c r="N111" s="4" t="s">
        <v>21</v>
      </c>
      <c r="O111" s="4"/>
      <c r="P111" s="4" t="s">
        <v>553</v>
      </c>
    </row>
    <row r="112" spans="1:16" x14ac:dyDescent="0.35">
      <c r="A112" s="4" t="s">
        <v>331</v>
      </c>
      <c r="B112" s="48">
        <f>VLOOKUP(Tabla1[[#This Row],[NOMBRE CONVENCIONAL CONSTITUYENTE]],all!$A$2:$B$156,2,FALSE)</f>
        <v>111</v>
      </c>
      <c r="C112" s="48" t="str">
        <f>VLOOKUP(Tabla1[[#This Row],[id]],apellido_nombre!$J$2:$K$155,2,FALSE)</f>
        <v>Reyes, María Ramona</v>
      </c>
      <c r="D112" s="7" t="s">
        <v>174</v>
      </c>
      <c r="E112" s="7">
        <v>55</v>
      </c>
      <c r="F112" s="4" t="s">
        <v>13</v>
      </c>
      <c r="G112" s="7">
        <v>24</v>
      </c>
      <c r="H112" s="4" t="s">
        <v>18</v>
      </c>
      <c r="I112" s="4"/>
      <c r="J112" s="4"/>
      <c r="K112" s="4" t="s">
        <v>19</v>
      </c>
      <c r="L112" s="4" t="s">
        <v>77</v>
      </c>
      <c r="M112" s="4" t="s">
        <v>557</v>
      </c>
      <c r="N112" s="4" t="s">
        <v>11</v>
      </c>
      <c r="O112" s="4"/>
      <c r="P112" s="4" t="s">
        <v>553</v>
      </c>
    </row>
    <row r="113" spans="1:16" x14ac:dyDescent="0.35">
      <c r="A113" s="4" t="s">
        <v>332</v>
      </c>
      <c r="B113" s="48">
        <f>VLOOKUP(Tabla1[[#This Row],[NOMBRE CONVENCIONAL CONSTITUYENTE]],all!$A$2:$B$156,2,FALSE)</f>
        <v>112</v>
      </c>
      <c r="C113" s="48" t="str">
        <f>VLOOKUP(Tabla1[[#This Row],[id]],apellido_nombre!$J$2:$K$155,2,FALSE)</f>
        <v>Castillo, María Trinidad</v>
      </c>
      <c r="D113" s="7" t="s">
        <v>175</v>
      </c>
      <c r="E113" s="7">
        <v>65</v>
      </c>
      <c r="F113" s="4" t="s">
        <v>13</v>
      </c>
      <c r="G113" s="7">
        <v>5</v>
      </c>
      <c r="H113" s="4" t="s">
        <v>27</v>
      </c>
      <c r="I113" s="4"/>
      <c r="J113" s="4"/>
      <c r="K113" s="4" t="s">
        <v>19</v>
      </c>
      <c r="L113" s="4" t="s">
        <v>16</v>
      </c>
      <c r="M113" s="4" t="s">
        <v>564</v>
      </c>
      <c r="N113" s="4" t="s">
        <v>63</v>
      </c>
      <c r="O113" s="4"/>
      <c r="P113" s="4" t="s">
        <v>553</v>
      </c>
    </row>
    <row r="114" spans="1:16" x14ac:dyDescent="0.35">
      <c r="A114" s="4" t="s">
        <v>333</v>
      </c>
      <c r="B114" s="48">
        <f>VLOOKUP(Tabla1[[#This Row],[NOMBRE CONVENCIONAL CONSTITUYENTE]],all!$A$2:$B$156,2,FALSE)</f>
        <v>113</v>
      </c>
      <c r="C114" s="48" t="str">
        <f>VLOOKUP(Tabla1[[#This Row],[id]],apellido_nombre!$J$2:$K$155,2,FALSE)</f>
        <v>Serey, Mariela</v>
      </c>
      <c r="D114" s="7" t="s">
        <v>176</v>
      </c>
      <c r="E114" s="7">
        <v>41</v>
      </c>
      <c r="F114" s="4" t="s">
        <v>13</v>
      </c>
      <c r="G114" s="7">
        <v>6</v>
      </c>
      <c r="H114" s="4" t="s">
        <v>43</v>
      </c>
      <c r="I114" s="4"/>
      <c r="J114" s="4"/>
      <c r="K114" s="4" t="s">
        <v>44</v>
      </c>
      <c r="L114" s="4" t="s">
        <v>92</v>
      </c>
      <c r="M114" s="4" t="s">
        <v>559</v>
      </c>
      <c r="N114" s="4" t="s">
        <v>21</v>
      </c>
      <c r="O114" s="4"/>
      <c r="P114" s="4" t="s">
        <v>553</v>
      </c>
    </row>
    <row r="115" spans="1:16" x14ac:dyDescent="0.35">
      <c r="A115" s="4" t="s">
        <v>334</v>
      </c>
      <c r="B115" s="48">
        <f>VLOOKUP(Tabla1[[#This Row],[NOMBRE CONVENCIONAL CONSTITUYENTE]],all!$A$2:$B$156,2,FALSE)</f>
        <v>114</v>
      </c>
      <c r="C115" s="48" t="str">
        <f>VLOOKUP(Tabla1[[#This Row],[id]],apellido_nombre!$J$2:$K$155,2,FALSE)</f>
        <v>Vargas, Mario</v>
      </c>
      <c r="D115" s="7" t="s">
        <v>177</v>
      </c>
      <c r="E115" s="7">
        <v>36</v>
      </c>
      <c r="F115" s="4" t="s">
        <v>7</v>
      </c>
      <c r="G115" s="7">
        <v>25</v>
      </c>
      <c r="H115" s="4" t="s">
        <v>18</v>
      </c>
      <c r="I115" s="4"/>
      <c r="J115" s="4"/>
      <c r="K115" s="4" t="s">
        <v>19</v>
      </c>
      <c r="L115" s="4" t="s">
        <v>77</v>
      </c>
      <c r="M115" s="4" t="s">
        <v>569</v>
      </c>
      <c r="N115" s="4" t="s">
        <v>25</v>
      </c>
      <c r="O115" s="4"/>
      <c r="P115" s="4" t="s">
        <v>552</v>
      </c>
    </row>
    <row r="116" spans="1:16" x14ac:dyDescent="0.35">
      <c r="A116" s="4" t="s">
        <v>335</v>
      </c>
      <c r="B116" s="48">
        <f>VLOOKUP(Tabla1[[#This Row],[NOMBRE CONVENCIONAL CONSTITUYENTE]],all!$A$2:$B$156,2,FALSE)</f>
        <v>115</v>
      </c>
      <c r="C116" s="48" t="str">
        <f>VLOOKUP(Tabla1[[#This Row],[id]],apellido_nombre!$J$2:$K$155,2,FALSE)</f>
        <v>Orellana, Matías</v>
      </c>
      <c r="D116" s="7" t="s">
        <v>178</v>
      </c>
      <c r="E116" s="7">
        <v>33</v>
      </c>
      <c r="F116" s="4" t="s">
        <v>7</v>
      </c>
      <c r="G116" s="7">
        <v>15</v>
      </c>
      <c r="H116" s="4" t="s">
        <v>18</v>
      </c>
      <c r="I116" s="4"/>
      <c r="J116" s="4"/>
      <c r="K116" s="4" t="s">
        <v>19</v>
      </c>
      <c r="L116" s="4" t="s">
        <v>77</v>
      </c>
      <c r="M116" s="4" t="s">
        <v>566</v>
      </c>
      <c r="N116" s="4" t="s">
        <v>21</v>
      </c>
      <c r="O116" s="4"/>
      <c r="P116" s="4" t="s">
        <v>553</v>
      </c>
    </row>
    <row r="117" spans="1:16" x14ac:dyDescent="0.35">
      <c r="A117" s="4" t="s">
        <v>336</v>
      </c>
      <c r="B117" s="48">
        <f>VLOOKUP(Tabla1[[#This Row],[NOMBRE CONVENCIONAL CONSTITUYENTE]],all!$A$2:$B$156,2,FALSE)</f>
        <v>116</v>
      </c>
      <c r="C117" s="48" t="str">
        <f>VLOOKUP(Tabla1[[#This Row],[id]],apellido_nombre!$J$2:$K$155,2,FALSE)</f>
        <v>Daza, Mauricio</v>
      </c>
      <c r="D117" s="7" t="s">
        <v>179</v>
      </c>
      <c r="E117" s="7">
        <v>50</v>
      </c>
      <c r="F117" s="4" t="s">
        <v>7</v>
      </c>
      <c r="G117" s="7">
        <v>28</v>
      </c>
      <c r="H117" s="4" t="s">
        <v>27</v>
      </c>
      <c r="I117" s="4"/>
      <c r="J117" s="4"/>
      <c r="K117" s="4" t="s">
        <v>59</v>
      </c>
      <c r="L117" s="4" t="s">
        <v>16</v>
      </c>
      <c r="M117" s="4" t="s">
        <v>557</v>
      </c>
      <c r="N117" s="4" t="s">
        <v>47</v>
      </c>
      <c r="O117" s="4"/>
      <c r="P117" s="4" t="s">
        <v>551</v>
      </c>
    </row>
    <row r="118" spans="1:16" x14ac:dyDescent="0.35">
      <c r="A118" s="4" t="s">
        <v>337</v>
      </c>
      <c r="B118" s="48">
        <f>VLOOKUP(Tabla1[[#This Row],[NOMBRE CONVENCIONAL CONSTITUYENTE]],all!$A$2:$B$156,2,FALSE)</f>
        <v>117</v>
      </c>
      <c r="C118" s="48" t="str">
        <f>VLOOKUP(Tabla1[[#This Row],[id]],apellido_nombre!$J$2:$K$155,2,FALSE)</f>
        <v>Hurtado, Maximiliano</v>
      </c>
      <c r="D118" s="7" t="s">
        <v>180</v>
      </c>
      <c r="E118" s="7">
        <v>37</v>
      </c>
      <c r="F118" s="4" t="s">
        <v>7</v>
      </c>
      <c r="G118" s="7">
        <v>4</v>
      </c>
      <c r="H118" s="4" t="s">
        <v>18</v>
      </c>
      <c r="I118" s="4"/>
      <c r="J118" s="4"/>
      <c r="K118" s="4" t="s">
        <v>19</v>
      </c>
      <c r="L118" s="4" t="s">
        <v>77</v>
      </c>
      <c r="M118" s="4" t="s">
        <v>564</v>
      </c>
      <c r="N118" s="4" t="s">
        <v>29</v>
      </c>
      <c r="O118" s="4"/>
      <c r="P118" s="4" t="s">
        <v>553</v>
      </c>
    </row>
    <row r="119" spans="1:16" x14ac:dyDescent="0.35">
      <c r="A119" s="4" t="s">
        <v>338</v>
      </c>
      <c r="B119" s="48">
        <f>VLOOKUP(Tabla1[[#This Row],[NOMBRE CONVENCIONAL CONSTITUYENTE]],all!$A$2:$B$156,2,FALSE)</f>
        <v>118</v>
      </c>
      <c r="C119" s="48" t="str">
        <f>VLOOKUP(Tabla1[[#This Row],[id]],apellido_nombre!$J$2:$K$155,2,FALSE)</f>
        <v>Botto, Miguel Ángel</v>
      </c>
      <c r="D119" s="7" t="s">
        <v>181</v>
      </c>
      <c r="E119" s="7">
        <v>53</v>
      </c>
      <c r="F119" s="4" t="s">
        <v>7</v>
      </c>
      <c r="G119" s="7">
        <v>6</v>
      </c>
      <c r="H119" s="4" t="s">
        <v>58</v>
      </c>
      <c r="I119" s="4"/>
      <c r="J119" s="4"/>
      <c r="K119" s="4" t="s">
        <v>23</v>
      </c>
      <c r="L119" s="4" t="s">
        <v>16</v>
      </c>
      <c r="M119" s="4" t="s">
        <v>563</v>
      </c>
      <c r="N119" s="4" t="s">
        <v>33</v>
      </c>
      <c r="O119" s="4"/>
      <c r="P119" s="4" t="s">
        <v>553</v>
      </c>
    </row>
    <row r="120" spans="1:16" x14ac:dyDescent="0.35">
      <c r="A120" s="4" t="s">
        <v>339</v>
      </c>
      <c r="B120" s="48">
        <f>VLOOKUP(Tabla1[[#This Row],[NOMBRE CONVENCIONAL CONSTITUYENTE]],all!$A$2:$B$156,2,FALSE)</f>
        <v>119</v>
      </c>
      <c r="C120" s="48" t="str">
        <f>VLOOKUP(Tabla1[[#This Row],[id]],apellido_nombre!$J$2:$K$155,2,FALSE)</f>
        <v>Henríquez, Natalia</v>
      </c>
      <c r="D120" s="7" t="s">
        <v>182</v>
      </c>
      <c r="E120" s="7">
        <v>36</v>
      </c>
      <c r="F120" s="4" t="s">
        <v>13</v>
      </c>
      <c r="G120" s="7">
        <v>9</v>
      </c>
      <c r="H120" s="4" t="s">
        <v>14</v>
      </c>
      <c r="I120" s="4" t="s">
        <v>576</v>
      </c>
      <c r="J120" s="4"/>
      <c r="K120" s="4" t="s">
        <v>67</v>
      </c>
      <c r="L120" s="4" t="s">
        <v>16</v>
      </c>
      <c r="M120" s="4" t="s">
        <v>557</v>
      </c>
      <c r="N120" s="4" t="s">
        <v>21</v>
      </c>
      <c r="O120" s="4"/>
      <c r="P120" s="4" t="s">
        <v>553</v>
      </c>
    </row>
    <row r="121" spans="1:16" x14ac:dyDescent="0.35">
      <c r="A121" s="4" t="s">
        <v>340</v>
      </c>
      <c r="B121" s="48">
        <f>VLOOKUP(Tabla1[[#This Row],[NOMBRE CONVENCIONAL CONSTITUYENTE]],all!$A$2:$B$156,2,FALSE)</f>
        <v>120</v>
      </c>
      <c r="C121" s="48" t="str">
        <f>VLOOKUP(Tabla1[[#This Row],[id]],apellido_nombre!$J$2:$K$155,2,FALSE)</f>
        <v>Llanquileo, Natividad</v>
      </c>
      <c r="D121" s="7" t="s">
        <v>183</v>
      </c>
      <c r="E121" s="7">
        <v>37</v>
      </c>
      <c r="F121" s="4" t="s">
        <v>13</v>
      </c>
      <c r="G121" s="7">
        <v>29</v>
      </c>
      <c r="H121" s="4" t="s">
        <v>8</v>
      </c>
      <c r="I121" s="4"/>
      <c r="J121" s="4" t="s">
        <v>9</v>
      </c>
      <c r="K121" s="4" t="s">
        <v>10</v>
      </c>
      <c r="L121" s="4"/>
      <c r="M121" s="4" t="s">
        <v>557</v>
      </c>
      <c r="N121" s="4" t="s">
        <v>47</v>
      </c>
      <c r="O121" s="4"/>
      <c r="P121" s="4" t="s">
        <v>551</v>
      </c>
    </row>
    <row r="122" spans="1:16" x14ac:dyDescent="0.35">
      <c r="A122" s="4" t="s">
        <v>341</v>
      </c>
      <c r="B122" s="48">
        <f>VLOOKUP(Tabla1[[#This Row],[NOMBRE CONVENCIONAL CONSTITUYENTE]],all!$A$2:$B$156,2,FALSE)</f>
        <v>121</v>
      </c>
      <c r="C122" s="48" t="str">
        <f>VLOOKUP(Tabla1[[#This Row],[id]],apellido_nombre!$J$2:$K$155,2,FALSE)</f>
        <v>Núñez, Nicolás</v>
      </c>
      <c r="D122" s="7" t="s">
        <v>184</v>
      </c>
      <c r="E122" s="7">
        <v>34</v>
      </c>
      <c r="F122" s="4" t="s">
        <v>7</v>
      </c>
      <c r="G122" s="7">
        <v>16</v>
      </c>
      <c r="H122" s="4" t="s">
        <v>43</v>
      </c>
      <c r="I122" s="4"/>
      <c r="J122" s="4"/>
      <c r="K122" s="4" t="s">
        <v>53</v>
      </c>
      <c r="L122" s="4" t="s">
        <v>128</v>
      </c>
      <c r="M122" s="4" t="s">
        <v>555</v>
      </c>
      <c r="N122" s="4" t="s">
        <v>63</v>
      </c>
      <c r="O122" s="4"/>
      <c r="P122" s="4" t="s">
        <v>550</v>
      </c>
    </row>
    <row r="123" spans="1:16" x14ac:dyDescent="0.35">
      <c r="A123" s="4" t="s">
        <v>342</v>
      </c>
      <c r="B123" s="48">
        <f>VLOOKUP(Tabla1[[#This Row],[NOMBRE CONVENCIONAL CONSTITUYENTE]],all!$A$2:$B$156,2,FALSE)</f>
        <v>122</v>
      </c>
      <c r="C123" s="48" t="str">
        <f>VLOOKUP(Tabla1[[#This Row],[id]],apellido_nombre!$J$2:$K$155,2,FALSE)</f>
        <v>Toloza, Pablo</v>
      </c>
      <c r="D123" s="7" t="s">
        <v>185</v>
      </c>
      <c r="E123" s="7">
        <v>50</v>
      </c>
      <c r="F123" s="4" t="s">
        <v>7</v>
      </c>
      <c r="G123" s="7">
        <v>3</v>
      </c>
      <c r="H123" s="4" t="s">
        <v>35</v>
      </c>
      <c r="I123" s="4"/>
      <c r="J123" s="4"/>
      <c r="K123" s="4" t="s">
        <v>36</v>
      </c>
      <c r="L123" s="4" t="s">
        <v>70</v>
      </c>
      <c r="M123" s="4" t="s">
        <v>566</v>
      </c>
      <c r="N123" s="4" t="s">
        <v>63</v>
      </c>
      <c r="O123" s="4"/>
      <c r="P123" s="4" t="s">
        <v>550</v>
      </c>
    </row>
    <row r="124" spans="1:16" x14ac:dyDescent="0.35">
      <c r="A124" s="4" t="s">
        <v>343</v>
      </c>
      <c r="B124" s="48">
        <f>VLOOKUP(Tabla1[[#This Row],[NOMBRE CONVENCIONAL CONSTITUYENTE]],all!$A$2:$B$156,2,FALSE)</f>
        <v>123</v>
      </c>
      <c r="C124" s="48" t="str">
        <f>VLOOKUP(Tabla1[[#This Row],[id]],apellido_nombre!$J$2:$K$155,2,FALSE)</f>
        <v>Grandón, Paola</v>
      </c>
      <c r="D124" s="7" t="s">
        <v>186</v>
      </c>
      <c r="E124" s="7">
        <v>49</v>
      </c>
      <c r="F124" s="4" t="s">
        <v>13</v>
      </c>
      <c r="G124" s="7">
        <v>17</v>
      </c>
      <c r="H124" s="4" t="s">
        <v>43</v>
      </c>
      <c r="I124" s="4"/>
      <c r="J124" s="4"/>
      <c r="K124" s="4" t="s">
        <v>53</v>
      </c>
      <c r="L124" s="4" t="s">
        <v>128</v>
      </c>
      <c r="M124" s="4" t="s">
        <v>563</v>
      </c>
      <c r="N124" s="4" t="s">
        <v>25</v>
      </c>
      <c r="O124" s="4"/>
      <c r="P124" s="4" t="s">
        <v>553</v>
      </c>
    </row>
    <row r="125" spans="1:16" x14ac:dyDescent="0.35">
      <c r="A125" s="4" t="s">
        <v>344</v>
      </c>
      <c r="B125" s="48">
        <f>VLOOKUP(Tabla1[[#This Row],[NOMBRE CONVENCIONAL CONSTITUYENTE]],all!$A$2:$B$156,2,FALSE)</f>
        <v>124</v>
      </c>
      <c r="C125" s="48" t="str">
        <f>VLOOKUP(Tabla1[[#This Row],[id]],apellido_nombre!$J$2:$K$155,2,FALSE)</f>
        <v>Labra, Patricia</v>
      </c>
      <c r="D125" s="7" t="s">
        <v>187</v>
      </c>
      <c r="E125" s="7">
        <v>36</v>
      </c>
      <c r="F125" s="4" t="s">
        <v>13</v>
      </c>
      <c r="G125" s="7">
        <v>18</v>
      </c>
      <c r="H125" s="4" t="s">
        <v>35</v>
      </c>
      <c r="I125" s="4"/>
      <c r="J125" s="4"/>
      <c r="K125" s="4" t="s">
        <v>36</v>
      </c>
      <c r="L125" s="4" t="s">
        <v>40</v>
      </c>
      <c r="M125" s="4" t="s">
        <v>557</v>
      </c>
      <c r="N125" s="4" t="s">
        <v>47</v>
      </c>
      <c r="O125" s="4"/>
      <c r="P125" s="4" t="s">
        <v>551</v>
      </c>
    </row>
    <row r="126" spans="1:16" x14ac:dyDescent="0.35">
      <c r="A126" s="4" t="s">
        <v>345</v>
      </c>
      <c r="B126" s="48">
        <f>VLOOKUP(Tabla1[[#This Row],[NOMBRE CONVENCIONAL CONSTITUYENTE]],all!$A$2:$B$156,2,FALSE)</f>
        <v>125</v>
      </c>
      <c r="C126" s="48" t="str">
        <f>VLOOKUP(Tabla1[[#This Row],[id]],apellido_nombre!$J$2:$K$155,2,FALSE)</f>
        <v>Politzer, Patricia</v>
      </c>
      <c r="D126" s="7" t="s">
        <v>188</v>
      </c>
      <c r="E126" s="7">
        <v>70</v>
      </c>
      <c r="F126" s="4" t="s">
        <v>13</v>
      </c>
      <c r="G126" s="7">
        <v>10</v>
      </c>
      <c r="H126" s="4" t="s">
        <v>58</v>
      </c>
      <c r="I126" s="4"/>
      <c r="J126" s="4"/>
      <c r="K126" s="4" t="s">
        <v>59</v>
      </c>
      <c r="L126" s="4" t="s">
        <v>16</v>
      </c>
      <c r="M126" s="4" t="s">
        <v>573</v>
      </c>
      <c r="N126" s="4" t="s">
        <v>29</v>
      </c>
      <c r="O126" s="4"/>
      <c r="P126" s="4" t="s">
        <v>550</v>
      </c>
    </row>
    <row r="127" spans="1:16" x14ac:dyDescent="0.35">
      <c r="A127" s="4" t="s">
        <v>346</v>
      </c>
      <c r="B127" s="48">
        <f>VLOOKUP(Tabla1[[#This Row],[NOMBRE CONVENCIONAL CONSTITUYENTE]],all!$A$2:$B$156,2,FALSE)</f>
        <v>126</v>
      </c>
      <c r="C127" s="48" t="str">
        <f>VLOOKUP(Tabla1[[#This Row],[id]],apellido_nombre!$J$2:$K$155,2,FALSE)</f>
        <v>Fernández, Patricio</v>
      </c>
      <c r="D127" s="7" t="s">
        <v>189</v>
      </c>
      <c r="E127" s="7">
        <v>52</v>
      </c>
      <c r="F127" s="4" t="s">
        <v>7</v>
      </c>
      <c r="G127" s="7">
        <v>11</v>
      </c>
      <c r="H127" s="4" t="s">
        <v>18</v>
      </c>
      <c r="I127" s="4"/>
      <c r="J127" s="4"/>
      <c r="K127" s="4" t="s">
        <v>19</v>
      </c>
      <c r="L127" s="4" t="s">
        <v>24</v>
      </c>
      <c r="M127" s="4" t="s">
        <v>573</v>
      </c>
      <c r="N127" s="4" t="s">
        <v>21</v>
      </c>
      <c r="O127" s="4"/>
      <c r="P127" s="4" t="s">
        <v>551</v>
      </c>
    </row>
    <row r="128" spans="1:16" x14ac:dyDescent="0.35">
      <c r="A128" s="4" t="s">
        <v>347</v>
      </c>
      <c r="B128" s="48">
        <f>VLOOKUP(Tabla1[[#This Row],[NOMBRE CONVENCIONAL CONSTITUYENTE]],all!$A$2:$B$156,2,FALSE)</f>
        <v>127</v>
      </c>
      <c r="C128" s="48" t="str">
        <f>VLOOKUP(Tabla1[[#This Row],[id]],apellido_nombre!$J$2:$K$155,2,FALSE)</f>
        <v>Veloso, Paulina</v>
      </c>
      <c r="D128" s="7" t="s">
        <v>190</v>
      </c>
      <c r="E128" s="7">
        <v>34</v>
      </c>
      <c r="F128" s="4" t="s">
        <v>13</v>
      </c>
      <c r="G128" s="7">
        <v>21</v>
      </c>
      <c r="H128" s="4" t="s">
        <v>35</v>
      </c>
      <c r="I128" s="4"/>
      <c r="J128" s="4"/>
      <c r="K128" s="4" t="s">
        <v>36</v>
      </c>
      <c r="L128" s="4" t="s">
        <v>40</v>
      </c>
      <c r="M128" s="4" t="s">
        <v>559</v>
      </c>
      <c r="N128" s="4" t="s">
        <v>25</v>
      </c>
      <c r="O128" s="4"/>
      <c r="P128" s="4" t="s">
        <v>551</v>
      </c>
    </row>
    <row r="129" spans="1:16" x14ac:dyDescent="0.35">
      <c r="A129" s="4" t="s">
        <v>348</v>
      </c>
      <c r="B129" s="48">
        <f>VLOOKUP(Tabla1[[#This Row],[NOMBRE CONVENCIONAL CONSTITUYENTE]],all!$A$2:$B$156,2,FALSE)</f>
        <v>128</v>
      </c>
      <c r="C129" s="48" t="str">
        <f>VLOOKUP(Tabla1[[#This Row],[id]],apellido_nombre!$J$2:$K$155,2,FALSE)</f>
        <v>Valenzuela, Paulina</v>
      </c>
      <c r="D129" s="7" t="s">
        <v>99</v>
      </c>
      <c r="E129" s="7">
        <v>37</v>
      </c>
      <c r="F129" s="4" t="s">
        <v>13</v>
      </c>
      <c r="G129" s="7">
        <v>14</v>
      </c>
      <c r="H129" s="4" t="s">
        <v>58</v>
      </c>
      <c r="I129" s="4"/>
      <c r="J129" s="4"/>
      <c r="K129" s="4" t="s">
        <v>59</v>
      </c>
      <c r="L129" s="4" t="s">
        <v>16</v>
      </c>
      <c r="M129" s="4" t="s">
        <v>573</v>
      </c>
      <c r="N129" s="4" t="s">
        <v>33</v>
      </c>
      <c r="O129" s="4"/>
      <c r="P129" s="4" t="s">
        <v>553</v>
      </c>
    </row>
    <row r="130" spans="1:16" x14ac:dyDescent="0.35">
      <c r="A130" s="4" t="s">
        <v>349</v>
      </c>
      <c r="B130" s="48">
        <f>VLOOKUP(Tabla1[[#This Row],[NOMBRE CONVENCIONAL CONSTITUYENTE]],all!$A$2:$B$156,2,FALSE)</f>
        <v>129</v>
      </c>
      <c r="C130" s="48" t="str">
        <f>VLOOKUP(Tabla1[[#This Row],[id]],apellido_nombre!$J$2:$K$155,2,FALSE)</f>
        <v>Muñoz, Pedro</v>
      </c>
      <c r="D130" s="7" t="s">
        <v>191</v>
      </c>
      <c r="E130" s="7">
        <v>50</v>
      </c>
      <c r="F130" s="4" t="s">
        <v>7</v>
      </c>
      <c r="G130" s="7">
        <v>24</v>
      </c>
      <c r="H130" s="4" t="s">
        <v>18</v>
      </c>
      <c r="I130" s="4"/>
      <c r="J130" s="4"/>
      <c r="K130" s="4" t="s">
        <v>19</v>
      </c>
      <c r="L130" s="4" t="s">
        <v>77</v>
      </c>
      <c r="M130" s="4" t="s">
        <v>574</v>
      </c>
      <c r="N130" s="4" t="s">
        <v>29</v>
      </c>
      <c r="O130" s="4"/>
      <c r="P130" s="4" t="s">
        <v>553</v>
      </c>
    </row>
    <row r="131" spans="1:16" x14ac:dyDescent="0.35">
      <c r="A131" s="4" t="s">
        <v>350</v>
      </c>
      <c r="B131" s="48">
        <f>VLOOKUP(Tabla1[[#This Row],[NOMBRE CONVENCIONAL CONSTITUYENTE]],all!$A$2:$B$156,2,FALSE)</f>
        <v>130</v>
      </c>
      <c r="C131" s="48" t="str">
        <f>VLOOKUP(Tabla1[[#This Row],[id]],apellido_nombre!$J$2:$K$155,2,FALSE)</f>
        <v>Rivera, Pollyana</v>
      </c>
      <c r="D131" s="7" t="s">
        <v>192</v>
      </c>
      <c r="E131" s="7">
        <v>47</v>
      </c>
      <c r="F131" s="4" t="s">
        <v>13</v>
      </c>
      <c r="G131" s="7">
        <v>1</v>
      </c>
      <c r="H131" s="4" t="s">
        <v>35</v>
      </c>
      <c r="I131" s="4"/>
      <c r="J131" s="4"/>
      <c r="K131" s="4" t="s">
        <v>36</v>
      </c>
      <c r="L131" s="4" t="s">
        <v>37</v>
      </c>
      <c r="M131" s="4" t="s">
        <v>565</v>
      </c>
      <c r="N131" s="4" t="s">
        <v>11</v>
      </c>
      <c r="O131" s="4"/>
      <c r="P131" s="4" t="s">
        <v>553</v>
      </c>
    </row>
    <row r="132" spans="1:16" x14ac:dyDescent="0.35">
      <c r="A132" s="4" t="s">
        <v>351</v>
      </c>
      <c r="B132" s="48">
        <f>VLOOKUP(Tabla1[[#This Row],[NOMBRE CONVENCIONAL CONSTITUYENTE]],all!$A$2:$B$156,2,FALSE)</f>
        <v>131</v>
      </c>
      <c r="C132" s="48" t="str">
        <f>VLOOKUP(Tabla1[[#This Row],[id]],apellido_nombre!$J$2:$K$155,2,FALSE)</f>
        <v>Celis, Raúl</v>
      </c>
      <c r="D132" s="7" t="s">
        <v>193</v>
      </c>
      <c r="E132" s="7">
        <v>59</v>
      </c>
      <c r="F132" s="4" t="s">
        <v>7</v>
      </c>
      <c r="G132" s="7">
        <v>7</v>
      </c>
      <c r="H132" s="4" t="s">
        <v>35</v>
      </c>
      <c r="I132" s="4"/>
      <c r="J132" s="4"/>
      <c r="K132" s="4" t="s">
        <v>36</v>
      </c>
      <c r="L132" s="4" t="s">
        <v>40</v>
      </c>
      <c r="M132" s="4" t="s">
        <v>559</v>
      </c>
      <c r="N132" s="4" t="s">
        <v>29</v>
      </c>
      <c r="O132" s="4"/>
      <c r="P132" s="4" t="s">
        <v>552</v>
      </c>
    </row>
    <row r="133" spans="1:16" x14ac:dyDescent="0.35">
      <c r="A133" s="4" t="s">
        <v>352</v>
      </c>
      <c r="B133" s="48">
        <f>VLOOKUP(Tabla1[[#This Row],[NOMBRE CONVENCIONAL CONSTITUYENTE]],all!$A$2:$B$156,2,FALSE)</f>
        <v>132</v>
      </c>
      <c r="C133" s="48" t="str">
        <f>VLOOKUP(Tabla1[[#This Row],[id]],apellido_nombre!$J$2:$K$155,2,FALSE)</f>
        <v>Garín, Renato</v>
      </c>
      <c r="D133" s="7" t="s">
        <v>194</v>
      </c>
      <c r="E133" s="7">
        <v>35</v>
      </c>
      <c r="F133" s="4" t="s">
        <v>7</v>
      </c>
      <c r="G133" s="7">
        <v>14</v>
      </c>
      <c r="H133" s="4" t="s">
        <v>18</v>
      </c>
      <c r="I133" s="4"/>
      <c r="J133" s="4"/>
      <c r="K133" s="4" t="s">
        <v>15</v>
      </c>
      <c r="L133" s="4" t="s">
        <v>195</v>
      </c>
      <c r="M133" s="4" t="s">
        <v>559</v>
      </c>
      <c r="N133" s="4" t="s">
        <v>29</v>
      </c>
      <c r="O133" s="4"/>
      <c r="P133" s="4" t="s">
        <v>553</v>
      </c>
    </row>
    <row r="134" spans="1:16" x14ac:dyDescent="0.35">
      <c r="A134" s="4" t="s">
        <v>353</v>
      </c>
      <c r="B134" s="48">
        <f>VLOOKUP(Tabla1[[#This Row],[NOMBRE CONVENCIONAL CONSTITUYENTE]],all!$A$2:$B$156,2,FALSE)</f>
        <v>133</v>
      </c>
      <c r="C134" s="48" t="str">
        <f>VLOOKUP(Tabla1[[#This Row],[id]],apellido_nombre!$J$2:$K$155,2,FALSE)</f>
        <v>Neumann, Ricardo</v>
      </c>
      <c r="D134" s="7" t="s">
        <v>196</v>
      </c>
      <c r="E134" s="7">
        <v>34</v>
      </c>
      <c r="F134" s="4" t="s">
        <v>7</v>
      </c>
      <c r="G134" s="7">
        <v>16</v>
      </c>
      <c r="H134" s="4" t="s">
        <v>35</v>
      </c>
      <c r="I134" s="4"/>
      <c r="J134" s="4"/>
      <c r="K134" s="4" t="s">
        <v>36</v>
      </c>
      <c r="L134" s="4" t="s">
        <v>37</v>
      </c>
      <c r="M134" s="4" t="s">
        <v>557</v>
      </c>
      <c r="N134" s="4" t="s">
        <v>33</v>
      </c>
      <c r="O134" s="4"/>
      <c r="P134" s="4" t="s">
        <v>552</v>
      </c>
    </row>
    <row r="135" spans="1:16" x14ac:dyDescent="0.35">
      <c r="A135" s="4" t="s">
        <v>354</v>
      </c>
      <c r="B135" s="48">
        <f>VLOOKUP(Tabla1[[#This Row],[NOMBRE CONVENCIONAL CONSTITUYENTE]],all!$A$2:$B$156,2,FALSE)</f>
        <v>134</v>
      </c>
      <c r="C135" s="48" t="str">
        <f>VLOOKUP(Tabla1[[#This Row],[id]],apellido_nombre!$J$2:$K$155,2,FALSE)</f>
        <v>Montero, Ricardo</v>
      </c>
      <c r="D135" s="7" t="s">
        <v>197</v>
      </c>
      <c r="E135" s="7">
        <v>38</v>
      </c>
      <c r="F135" s="4" t="s">
        <v>7</v>
      </c>
      <c r="G135" s="7">
        <v>18</v>
      </c>
      <c r="H135" s="4" t="s">
        <v>18</v>
      </c>
      <c r="I135" s="4"/>
      <c r="J135" s="4"/>
      <c r="K135" s="4" t="s">
        <v>19</v>
      </c>
      <c r="L135" s="4" t="s">
        <v>77</v>
      </c>
      <c r="M135" s="4" t="s">
        <v>557</v>
      </c>
      <c r="N135" s="4" t="s">
        <v>29</v>
      </c>
      <c r="O135" s="4"/>
      <c r="P135" s="4" t="s">
        <v>551</v>
      </c>
    </row>
    <row r="136" spans="1:16" x14ac:dyDescent="0.35">
      <c r="A136" s="4" t="s">
        <v>355</v>
      </c>
      <c r="B136" s="48">
        <f>VLOOKUP(Tabla1[[#This Row],[NOMBRE CONVENCIONAL CONSTITUYENTE]],all!$A$2:$B$156,2,FALSE)</f>
        <v>135</v>
      </c>
      <c r="C136" s="48" t="str">
        <f>VLOOKUP(Tabla1[[#This Row],[id]],apellido_nombre!$J$2:$K$155,2,FALSE)</f>
        <v>Celedón, Roberto</v>
      </c>
      <c r="D136" s="7" t="s">
        <v>198</v>
      </c>
      <c r="E136" s="7">
        <v>75</v>
      </c>
      <c r="F136" s="4" t="s">
        <v>7</v>
      </c>
      <c r="G136" s="7">
        <v>17</v>
      </c>
      <c r="H136" s="4" t="s">
        <v>43</v>
      </c>
      <c r="I136" s="4"/>
      <c r="J136" s="4"/>
      <c r="K136" s="4" t="s">
        <v>53</v>
      </c>
      <c r="L136" s="4" t="s">
        <v>199</v>
      </c>
      <c r="M136" s="4" t="s">
        <v>569</v>
      </c>
      <c r="N136" s="4" t="s">
        <v>21</v>
      </c>
      <c r="O136" s="4"/>
      <c r="P136" s="4" t="s">
        <v>551</v>
      </c>
    </row>
    <row r="137" spans="1:16" x14ac:dyDescent="0.35">
      <c r="A137" s="4" t="s">
        <v>356</v>
      </c>
      <c r="B137" s="48">
        <f>VLOOKUP(Tabla1[[#This Row],[NOMBRE CONVENCIONAL CONSTITUYENTE]],all!$A$2:$B$156,2,FALSE)</f>
        <v>136</v>
      </c>
      <c r="C137" s="48" t="str">
        <f>VLOOKUP(Tabla1[[#This Row],[id]],apellido_nombre!$J$2:$K$155,2,FALSE)</f>
        <v>Vega, Roberto</v>
      </c>
      <c r="D137" s="7" t="s">
        <v>200</v>
      </c>
      <c r="E137" s="7">
        <v>41</v>
      </c>
      <c r="F137" s="4" t="s">
        <v>7</v>
      </c>
      <c r="G137" s="7">
        <v>5</v>
      </c>
      <c r="H137" s="4" t="s">
        <v>35</v>
      </c>
      <c r="I137" s="4"/>
      <c r="J137" s="4"/>
      <c r="K137" s="4" t="s">
        <v>36</v>
      </c>
      <c r="L137" s="4" t="s">
        <v>40</v>
      </c>
      <c r="M137" s="4" t="s">
        <v>559</v>
      </c>
      <c r="N137" s="4" t="s">
        <v>63</v>
      </c>
      <c r="O137" s="4"/>
      <c r="P137" s="4" t="s">
        <v>550</v>
      </c>
    </row>
    <row r="138" spans="1:16" x14ac:dyDescent="0.35">
      <c r="A138" s="4" t="s">
        <v>357</v>
      </c>
      <c r="B138" s="48">
        <f>VLOOKUP(Tabla1[[#This Row],[NOMBRE CONVENCIONAL CONSTITUYENTE]],all!$A$2:$B$156,2,FALSE)</f>
        <v>137</v>
      </c>
      <c r="C138" s="48" t="str">
        <f>VLOOKUP(Tabla1[[#This Row],[id]],apellido_nombre!$J$2:$K$155,2,FALSE)</f>
        <v>Cantuarias, Rocío</v>
      </c>
      <c r="D138" s="7" t="s">
        <v>201</v>
      </c>
      <c r="E138" s="7">
        <v>43</v>
      </c>
      <c r="F138" s="4" t="s">
        <v>13</v>
      </c>
      <c r="G138" s="7">
        <v>20</v>
      </c>
      <c r="H138" s="4" t="s">
        <v>35</v>
      </c>
      <c r="I138" s="4"/>
      <c r="J138" s="4"/>
      <c r="K138" s="4" t="s">
        <v>36</v>
      </c>
      <c r="L138" s="4" t="s">
        <v>51</v>
      </c>
      <c r="M138" s="4" t="s">
        <v>563</v>
      </c>
      <c r="N138" s="4" t="s">
        <v>21</v>
      </c>
      <c r="O138" s="4"/>
      <c r="P138" s="4" t="s">
        <v>550</v>
      </c>
    </row>
    <row r="139" spans="1:16" x14ac:dyDescent="0.35">
      <c r="A139" s="4" t="s">
        <v>358</v>
      </c>
      <c r="B139" s="48">
        <f>VLOOKUP(Tabla1[[#This Row],[NOMBRE CONVENCIONAL CONSTITUYENTE]],all!$A$2:$B$156,2,FALSE)</f>
        <v>138</v>
      </c>
      <c r="C139" s="48" t="str">
        <f>VLOOKUP(Tabla1[[#This Row],[id]],apellido_nombre!$J$2:$K$155,2,FALSE)</f>
        <v>Alvarez, Rodrigo</v>
      </c>
      <c r="D139" s="7" t="s">
        <v>202</v>
      </c>
      <c r="E139" s="7">
        <v>55</v>
      </c>
      <c r="F139" s="4" t="s">
        <v>7</v>
      </c>
      <c r="G139" s="7">
        <v>28</v>
      </c>
      <c r="H139" s="4" t="s">
        <v>35</v>
      </c>
      <c r="I139" s="4"/>
      <c r="J139" s="4"/>
      <c r="K139" s="4" t="s">
        <v>36</v>
      </c>
      <c r="L139" s="4" t="s">
        <v>70</v>
      </c>
      <c r="M139" s="4" t="s">
        <v>557</v>
      </c>
      <c r="N139" s="4" t="s">
        <v>63</v>
      </c>
      <c r="O139" s="4"/>
      <c r="P139" s="4" t="s">
        <v>551</v>
      </c>
    </row>
    <row r="140" spans="1:16" x14ac:dyDescent="0.35">
      <c r="A140" s="4" t="s">
        <v>359</v>
      </c>
      <c r="B140" s="48">
        <f>VLOOKUP(Tabla1[[#This Row],[NOMBRE CONVENCIONAL CONSTITUYENTE]],all!$A$2:$B$156,2,FALSE)</f>
        <v>139</v>
      </c>
      <c r="C140" s="48" t="str">
        <f>VLOOKUP(Tabla1[[#This Row],[id]],apellido_nombre!$J$2:$K$155,2,FALSE)</f>
        <v>Logan, Rodrigo</v>
      </c>
      <c r="D140" s="7" t="s">
        <v>203</v>
      </c>
      <c r="E140" s="7">
        <v>42</v>
      </c>
      <c r="F140" s="4" t="s">
        <v>7</v>
      </c>
      <c r="G140" s="7">
        <v>9</v>
      </c>
      <c r="H140" s="4" t="s">
        <v>27</v>
      </c>
      <c r="I140" s="4"/>
      <c r="J140" s="4"/>
      <c r="K140" s="4" t="s">
        <v>23</v>
      </c>
      <c r="L140" s="4" t="s">
        <v>16</v>
      </c>
      <c r="M140" s="4"/>
      <c r="N140" s="4" t="s">
        <v>47</v>
      </c>
      <c r="O140" s="4"/>
      <c r="P140" s="4" t="s">
        <v>553</v>
      </c>
    </row>
    <row r="141" spans="1:16" x14ac:dyDescent="0.35">
      <c r="A141" s="4" t="s">
        <v>360</v>
      </c>
      <c r="B141" s="48">
        <f>VLOOKUP(Tabla1[[#This Row],[NOMBRE CONVENCIONAL CONSTITUYENTE]],all!$A$2:$B$156,2,FALSE)</f>
        <v>140</v>
      </c>
      <c r="C141" s="48" t="e">
        <f>VLOOKUP(Tabla1[[#This Row],[id]],apellido_nombre!$J$2:$K$155,2,FALSE)</f>
        <v>#N/A</v>
      </c>
      <c r="D141" s="7" t="s">
        <v>204</v>
      </c>
      <c r="E141" s="7">
        <v>38</v>
      </c>
      <c r="F141" s="4" t="s">
        <v>7</v>
      </c>
      <c r="G141" s="7">
        <v>13</v>
      </c>
      <c r="H141" s="4" t="s">
        <v>14</v>
      </c>
      <c r="I141" s="4" t="s">
        <v>576</v>
      </c>
      <c r="J141" s="4"/>
      <c r="K141" s="4" t="s">
        <v>67</v>
      </c>
      <c r="L141" s="4" t="s">
        <v>16</v>
      </c>
      <c r="M141" s="4" t="s">
        <v>553</v>
      </c>
      <c r="N141" s="4" t="s">
        <v>553</v>
      </c>
      <c r="O141" s="4"/>
      <c r="P141" s="4" t="s">
        <v>553</v>
      </c>
    </row>
    <row r="142" spans="1:16" x14ac:dyDescent="0.35">
      <c r="A142" s="4" t="s">
        <v>361</v>
      </c>
      <c r="B142" s="48">
        <f>VLOOKUP(Tabla1[[#This Row],[NOMBRE CONVENCIONAL CONSTITUYENTE]],all!$A$2:$B$156,2,FALSE)</f>
        <v>141</v>
      </c>
      <c r="C142" s="48" t="str">
        <f>VLOOKUP(Tabla1[[#This Row],[id]],apellido_nombre!$J$2:$K$155,2,FALSE)</f>
        <v>Catrileo, Rosa</v>
      </c>
      <c r="D142" s="7" t="s">
        <v>205</v>
      </c>
      <c r="E142" s="7">
        <v>40</v>
      </c>
      <c r="F142" s="4" t="s">
        <v>13</v>
      </c>
      <c r="G142" s="7">
        <v>29</v>
      </c>
      <c r="H142" s="4" t="s">
        <v>8</v>
      </c>
      <c r="I142" s="4"/>
      <c r="J142" s="4" t="s">
        <v>9</v>
      </c>
      <c r="K142" s="4" t="s">
        <v>10</v>
      </c>
      <c r="L142" s="4"/>
      <c r="M142" s="4" t="s">
        <v>557</v>
      </c>
      <c r="N142" s="4" t="s">
        <v>29</v>
      </c>
      <c r="O142" s="4"/>
      <c r="P142" s="4" t="s">
        <v>551</v>
      </c>
    </row>
    <row r="143" spans="1:16" x14ac:dyDescent="0.35">
      <c r="A143" s="4" t="s">
        <v>362</v>
      </c>
      <c r="B143" s="48">
        <f>VLOOKUP(Tabla1[[#This Row],[NOMBRE CONVENCIONAL CONSTITUYENTE]],all!$A$2:$B$156,2,FALSE)</f>
        <v>142</v>
      </c>
      <c r="C143" s="48" t="str">
        <f>VLOOKUP(Tabla1[[#This Row],[id]],apellido_nombre!$J$2:$K$155,2,FALSE)</f>
        <v>Vidal, Loreto</v>
      </c>
      <c r="D143" s="7" t="s">
        <v>206</v>
      </c>
      <c r="E143" s="7">
        <v>52</v>
      </c>
      <c r="F143" s="4" t="s">
        <v>13</v>
      </c>
      <c r="G143" s="7">
        <v>20</v>
      </c>
      <c r="H143" s="4" t="s">
        <v>14</v>
      </c>
      <c r="I143" s="4" t="s">
        <v>16</v>
      </c>
      <c r="J143" s="4"/>
      <c r="K143" s="4" t="s">
        <v>15</v>
      </c>
      <c r="L143" s="4" t="s">
        <v>16</v>
      </c>
      <c r="M143" s="4" t="s">
        <v>564</v>
      </c>
      <c r="N143" s="4" t="s">
        <v>33</v>
      </c>
      <c r="O143" s="4"/>
      <c r="P143" s="4" t="s">
        <v>553</v>
      </c>
    </row>
    <row r="144" spans="1:16" x14ac:dyDescent="0.35">
      <c r="A144" s="4" t="s">
        <v>363</v>
      </c>
      <c r="B144" s="48">
        <f>VLOOKUP(Tabla1[[#This Row],[NOMBRE CONVENCIONAL CONSTITUYENTE]],all!$A$2:$B$156,2,FALSE)</f>
        <v>143</v>
      </c>
      <c r="C144" s="48" t="str">
        <f>VLOOKUP(Tabla1[[#This Row],[id]],apellido_nombre!$J$2:$K$155,2,FALSE)</f>
        <v>Cozzi, Ruggero</v>
      </c>
      <c r="D144" s="7" t="s">
        <v>207</v>
      </c>
      <c r="E144" s="7">
        <v>35</v>
      </c>
      <c r="F144" s="4" t="s">
        <v>7</v>
      </c>
      <c r="G144" s="7">
        <v>6</v>
      </c>
      <c r="H144" s="4" t="s">
        <v>35</v>
      </c>
      <c r="I144" s="4"/>
      <c r="J144" s="4"/>
      <c r="K144" s="4" t="s">
        <v>36</v>
      </c>
      <c r="L144" s="4" t="s">
        <v>40</v>
      </c>
      <c r="M144" s="4" t="s">
        <v>574</v>
      </c>
      <c r="N144" s="4" t="s">
        <v>47</v>
      </c>
      <c r="O144" s="4"/>
      <c r="P144" s="4" t="s">
        <v>551</v>
      </c>
    </row>
    <row r="145" spans="1:16" x14ac:dyDescent="0.35">
      <c r="A145" s="4" t="s">
        <v>364</v>
      </c>
      <c r="B145" s="48">
        <f>VLOOKUP(Tabla1[[#This Row],[NOMBRE CONVENCIONAL CONSTITUYENTE]],all!$A$2:$B$156,2,FALSE)</f>
        <v>144</v>
      </c>
      <c r="C145" s="48" t="str">
        <f>VLOOKUP(Tabla1[[#This Row],[id]],apellido_nombre!$J$2:$K$155,2,FALSE)</f>
        <v>Hurtado, Ruth</v>
      </c>
      <c r="D145" s="7" t="s">
        <v>208</v>
      </c>
      <c r="E145" s="7">
        <v>41</v>
      </c>
      <c r="F145" s="4" t="s">
        <v>13</v>
      </c>
      <c r="G145" s="7">
        <v>22</v>
      </c>
      <c r="H145" s="4" t="s">
        <v>35</v>
      </c>
      <c r="I145" s="4"/>
      <c r="J145" s="4"/>
      <c r="K145" s="4" t="s">
        <v>36</v>
      </c>
      <c r="L145" s="4" t="s">
        <v>62</v>
      </c>
      <c r="M145" s="4" t="s">
        <v>569</v>
      </c>
      <c r="N145" s="4" t="s">
        <v>47</v>
      </c>
      <c r="O145" s="4"/>
      <c r="P145" s="4" t="s">
        <v>552</v>
      </c>
    </row>
    <row r="146" spans="1:16" x14ac:dyDescent="0.35">
      <c r="A146" s="4" t="s">
        <v>365</v>
      </c>
      <c r="B146" s="48">
        <f>VLOOKUP(Tabla1[[#This Row],[NOMBRE CONVENCIONAL CONSTITUYENTE]],all!$A$2:$B$156,2,FALSE)</f>
        <v>145</v>
      </c>
      <c r="C146" s="48" t="str">
        <f>VLOOKUP(Tabla1[[#This Row],[id]],apellido_nombre!$J$2:$K$155,2,FALSE)</f>
        <v>Pustilnick, Tammy</v>
      </c>
      <c r="D146" s="7" t="s">
        <v>209</v>
      </c>
      <c r="E146" s="7">
        <v>35</v>
      </c>
      <c r="F146" s="4" t="s">
        <v>13</v>
      </c>
      <c r="G146" s="7">
        <v>20</v>
      </c>
      <c r="H146" s="4" t="s">
        <v>58</v>
      </c>
      <c r="I146" s="4"/>
      <c r="J146" s="4"/>
      <c r="K146" s="4" t="s">
        <v>59</v>
      </c>
      <c r="L146" s="4" t="s">
        <v>16</v>
      </c>
      <c r="M146" s="4" t="s">
        <v>557</v>
      </c>
      <c r="N146" s="4" t="s">
        <v>11</v>
      </c>
      <c r="O146" s="4"/>
      <c r="P146" s="4" t="s">
        <v>551</v>
      </c>
    </row>
    <row r="147" spans="1:16" x14ac:dyDescent="0.35">
      <c r="A147" s="4" t="s">
        <v>366</v>
      </c>
      <c r="B147" s="48">
        <f>VLOOKUP(Tabla1[[#This Row],[NOMBRE CONVENCIONAL CONSTITUYENTE]],all!$A$2:$B$156,2,FALSE)</f>
        <v>146</v>
      </c>
      <c r="C147" s="48" t="str">
        <f>VLOOKUP(Tabla1[[#This Row],[id]],apellido_nombre!$J$2:$K$155,2,FALSE)</f>
        <v>Madriaga, Tania</v>
      </c>
      <c r="D147" s="7" t="s">
        <v>210</v>
      </c>
      <c r="E147" s="7">
        <v>50</v>
      </c>
      <c r="F147" s="4" t="s">
        <v>13</v>
      </c>
      <c r="G147" s="7">
        <v>7</v>
      </c>
      <c r="H147" s="4" t="s">
        <v>14</v>
      </c>
      <c r="I147" s="4" t="s">
        <v>576</v>
      </c>
      <c r="J147" s="4"/>
      <c r="K147" s="4" t="s">
        <v>31</v>
      </c>
      <c r="L147" s="4" t="s">
        <v>16</v>
      </c>
      <c r="M147" s="4" t="s">
        <v>559</v>
      </c>
      <c r="N147" s="4" t="s">
        <v>29</v>
      </c>
      <c r="O147" s="4"/>
      <c r="P147" s="4" t="s">
        <v>550</v>
      </c>
    </row>
    <row r="148" spans="1:16" x14ac:dyDescent="0.35">
      <c r="A148" s="4" t="s">
        <v>367</v>
      </c>
      <c r="B148" s="48">
        <f>VLOOKUP(Tabla1[[#This Row],[NOMBRE CONVENCIONAL CONSTITUYENTE]],all!$A$2:$B$156,2,FALSE)</f>
        <v>147</v>
      </c>
      <c r="C148" s="48" t="str">
        <f>VLOOKUP(Tabla1[[#This Row],[id]],apellido_nombre!$J$2:$K$155,2,FALSE)</f>
        <v>Urrutia, Tatiana</v>
      </c>
      <c r="D148" s="7" t="s">
        <v>211</v>
      </c>
      <c r="E148" s="7">
        <v>39</v>
      </c>
      <c r="F148" s="4" t="s">
        <v>13</v>
      </c>
      <c r="G148" s="7">
        <v>8</v>
      </c>
      <c r="H148" s="4" t="s">
        <v>43</v>
      </c>
      <c r="I148" s="4"/>
      <c r="J148" s="4"/>
      <c r="K148" s="4" t="s">
        <v>44</v>
      </c>
      <c r="L148" s="4" t="s">
        <v>45</v>
      </c>
      <c r="M148" s="4" t="s">
        <v>559</v>
      </c>
      <c r="N148" s="4" t="s">
        <v>21</v>
      </c>
      <c r="O148" s="4"/>
      <c r="P148" s="4" t="s">
        <v>551</v>
      </c>
    </row>
    <row r="149" spans="1:16" x14ac:dyDescent="0.35">
      <c r="A149" s="4" t="s">
        <v>368</v>
      </c>
      <c r="B149" s="48">
        <f>VLOOKUP(Tabla1[[#This Row],[NOMBRE CONVENCIONAL CONSTITUYENTE]],all!$A$2:$B$156,2,FALSE)</f>
        <v>148</v>
      </c>
      <c r="C149" s="48" t="str">
        <f>VLOOKUP(Tabla1[[#This Row],[id]],apellido_nombre!$J$2:$K$155,2,FALSE)</f>
        <v>Marinovic, Teresa</v>
      </c>
      <c r="D149" s="7" t="s">
        <v>212</v>
      </c>
      <c r="E149" s="7">
        <v>49</v>
      </c>
      <c r="F149" s="4" t="s">
        <v>13</v>
      </c>
      <c r="G149" s="7">
        <v>10</v>
      </c>
      <c r="H149" s="4" t="s">
        <v>35</v>
      </c>
      <c r="I149" s="4"/>
      <c r="J149" s="4"/>
      <c r="K149" s="4" t="s">
        <v>36</v>
      </c>
      <c r="L149" s="4" t="s">
        <v>62</v>
      </c>
      <c r="M149" s="4" t="s">
        <v>573</v>
      </c>
      <c r="N149" s="4" t="s">
        <v>21</v>
      </c>
      <c r="O149" s="4"/>
      <c r="P149" s="4" t="s">
        <v>553</v>
      </c>
    </row>
    <row r="150" spans="1:16" x14ac:dyDescent="0.35">
      <c r="A150" s="4" t="s">
        <v>369</v>
      </c>
      <c r="B150" s="48">
        <f>VLOOKUP(Tabla1[[#This Row],[NOMBRE CONVENCIONAL CONSTITUYENTE]],all!$A$2:$B$156,2,FALSE)</f>
        <v>149</v>
      </c>
      <c r="C150" s="48" t="str">
        <f>VLOOKUP(Tabla1[[#This Row],[id]],apellido_nombre!$J$2:$K$155,2,FALSE)</f>
        <v>Aguilera, Tiare</v>
      </c>
      <c r="D150" s="7" t="s">
        <v>213</v>
      </c>
      <c r="E150" s="7">
        <v>40</v>
      </c>
      <c r="F150" s="4" t="s">
        <v>13</v>
      </c>
      <c r="G150" s="7">
        <v>29</v>
      </c>
      <c r="H150" s="4" t="s">
        <v>8</v>
      </c>
      <c r="I150" s="4"/>
      <c r="J150" s="4" t="s">
        <v>214</v>
      </c>
      <c r="K150" s="4" t="s">
        <v>10</v>
      </c>
      <c r="L150" s="4"/>
      <c r="M150" s="4" t="s">
        <v>566</v>
      </c>
      <c r="N150" s="4" t="s">
        <v>11</v>
      </c>
      <c r="O150" s="4"/>
      <c r="P150" s="4" t="s">
        <v>551</v>
      </c>
    </row>
    <row r="151" spans="1:16" x14ac:dyDescent="0.35">
      <c r="A151" s="4" t="s">
        <v>370</v>
      </c>
      <c r="B151" s="48">
        <f>VLOOKUP(Tabla1[[#This Row],[NOMBRE CONVENCIONAL CONSTITUYENTE]],all!$A$2:$B$156,2,FALSE)</f>
        <v>150</v>
      </c>
      <c r="C151" s="48" t="str">
        <f>VLOOKUP(Tabla1[[#This Row],[id]],apellido_nombre!$J$2:$K$155,2,FALSE)</f>
        <v>Laibe, Tomás</v>
      </c>
      <c r="D151" s="7" t="s">
        <v>215</v>
      </c>
      <c r="E151" s="7">
        <v>31</v>
      </c>
      <c r="F151" s="4" t="s">
        <v>7</v>
      </c>
      <c r="G151" s="7">
        <v>27</v>
      </c>
      <c r="H151" s="4" t="s">
        <v>18</v>
      </c>
      <c r="I151" s="4"/>
      <c r="J151" s="4"/>
      <c r="K151" s="4" t="s">
        <v>19</v>
      </c>
      <c r="L151" s="4" t="s">
        <v>77</v>
      </c>
      <c r="M151" s="4" t="s">
        <v>559</v>
      </c>
      <c r="N151" s="4" t="s">
        <v>47</v>
      </c>
      <c r="O151" s="4"/>
      <c r="P151" s="4" t="s">
        <v>550</v>
      </c>
    </row>
    <row r="152" spans="1:16" x14ac:dyDescent="0.35">
      <c r="A152" s="4" t="s">
        <v>371</v>
      </c>
      <c r="B152" s="48">
        <f>VLOOKUP(Tabla1[[#This Row],[NOMBRE CONVENCIONAL CONSTITUYENTE]],all!$A$2:$B$156,2,FALSE)</f>
        <v>151</v>
      </c>
      <c r="C152" s="48" t="str">
        <f>VLOOKUP(Tabla1[[#This Row],[id]],apellido_nombre!$J$2:$K$155,2,FALSE)</f>
        <v>Miranda, Valentina</v>
      </c>
      <c r="D152" s="7" t="s">
        <v>216</v>
      </c>
      <c r="E152" s="7">
        <v>22</v>
      </c>
      <c r="F152" s="4" t="s">
        <v>13</v>
      </c>
      <c r="G152" s="7">
        <v>8</v>
      </c>
      <c r="H152" s="4" t="s">
        <v>43</v>
      </c>
      <c r="I152" s="4"/>
      <c r="J152" s="4"/>
      <c r="K152" s="4" t="s">
        <v>53</v>
      </c>
      <c r="L152" s="4" t="s">
        <v>54</v>
      </c>
      <c r="M152" s="4" t="s">
        <v>559</v>
      </c>
      <c r="N152" s="4" t="s">
        <v>21</v>
      </c>
      <c r="O152" s="4"/>
      <c r="P152" s="4" t="s">
        <v>553</v>
      </c>
    </row>
    <row r="153" spans="1:16" x14ac:dyDescent="0.35">
      <c r="A153" s="4" t="s">
        <v>372</v>
      </c>
      <c r="B153" s="48">
        <f>VLOOKUP(Tabla1[[#This Row],[NOMBRE CONVENCIONAL CONSTITUYENTE]],all!$A$2:$B$156,2,FALSE)</f>
        <v>152</v>
      </c>
      <c r="C153" s="48" t="str">
        <f>VLOOKUP(Tabla1[[#This Row],[id]],apellido_nombre!$J$2:$K$155,2,FALSE)</f>
        <v>Hoppe, Vanessa</v>
      </c>
      <c r="D153" s="7" t="s">
        <v>217</v>
      </c>
      <c r="E153" s="7">
        <v>42</v>
      </c>
      <c r="F153" s="4" t="s">
        <v>13</v>
      </c>
      <c r="G153" s="7">
        <v>21</v>
      </c>
      <c r="H153" s="4" t="s">
        <v>43</v>
      </c>
      <c r="I153" s="4" t="s">
        <v>577</v>
      </c>
      <c r="J153" s="4"/>
      <c r="K153" s="4" t="s">
        <v>28</v>
      </c>
      <c r="L153" s="4" t="s">
        <v>218</v>
      </c>
      <c r="M153" s="4" t="s">
        <v>566</v>
      </c>
      <c r="N153" s="4" t="s">
        <v>47</v>
      </c>
      <c r="O153" s="4"/>
      <c r="P153" s="4" t="s">
        <v>550</v>
      </c>
    </row>
    <row r="154" spans="1:16" x14ac:dyDescent="0.35">
      <c r="A154" s="4" t="s">
        <v>373</v>
      </c>
      <c r="B154" s="48">
        <f>VLOOKUP(Tabla1[[#This Row],[NOMBRE CONVENCIONAL CONSTITUYENTE]],all!$A$2:$B$156,2,FALSE)</f>
        <v>153</v>
      </c>
      <c r="C154" s="48" t="str">
        <f>VLOOKUP(Tabla1[[#This Row],[id]],apellido_nombre!$J$2:$K$155,2,FALSE)</f>
        <v>Antilef, Victorino</v>
      </c>
      <c r="D154" s="7" t="s">
        <v>219</v>
      </c>
      <c r="E154" s="7">
        <v>52</v>
      </c>
      <c r="F154" s="4" t="s">
        <v>7</v>
      </c>
      <c r="G154" s="7">
        <v>29</v>
      </c>
      <c r="H154" s="4" t="s">
        <v>8</v>
      </c>
      <c r="I154" s="4"/>
      <c r="J154" s="4" t="s">
        <v>9</v>
      </c>
      <c r="K154" s="4" t="s">
        <v>10</v>
      </c>
      <c r="L154" s="4"/>
      <c r="M154" s="4" t="s">
        <v>573</v>
      </c>
      <c r="N154" s="4" t="s">
        <v>63</v>
      </c>
      <c r="O154" s="4"/>
      <c r="P154" s="4" t="s">
        <v>551</v>
      </c>
    </row>
    <row r="155" spans="1:16" x14ac:dyDescent="0.35">
      <c r="A155" s="4" t="s">
        <v>374</v>
      </c>
      <c r="B155" s="48">
        <f>VLOOKUP(Tabla1[[#This Row],[NOMBRE CONVENCIONAL CONSTITUYENTE]],all!$A$2:$B$156,2,FALSE)</f>
        <v>154</v>
      </c>
      <c r="C155" s="48" t="str">
        <f>VLOOKUP(Tabla1[[#This Row],[id]],apellido_nombre!$J$2:$K$155,2,FALSE)</f>
        <v>Bacian, Wilfredo</v>
      </c>
      <c r="D155" s="7" t="s">
        <v>220</v>
      </c>
      <c r="E155" s="7">
        <v>46</v>
      </c>
      <c r="F155" s="4" t="s">
        <v>7</v>
      </c>
      <c r="G155" s="7">
        <v>29</v>
      </c>
      <c r="H155" s="4" t="s">
        <v>8</v>
      </c>
      <c r="I155" s="4"/>
      <c r="J155" s="4" t="s">
        <v>221</v>
      </c>
      <c r="K155" s="4" t="s">
        <v>10</v>
      </c>
      <c r="L155" s="4"/>
      <c r="M155" s="4" t="s">
        <v>554</v>
      </c>
      <c r="N155" s="4" t="s">
        <v>11</v>
      </c>
      <c r="O155" s="4"/>
      <c r="P155" s="4" t="s">
        <v>552</v>
      </c>
    </row>
    <row r="156" spans="1:16" x14ac:dyDescent="0.35">
      <c r="A156" s="4" t="s">
        <v>375</v>
      </c>
      <c r="B156" s="48">
        <f>VLOOKUP(Tabla1[[#This Row],[NOMBRE CONVENCIONAL CONSTITUYENTE]],all!$A$2:$B$156,2,FALSE)</f>
        <v>155</v>
      </c>
      <c r="C156" s="48" t="str">
        <f>VLOOKUP(Tabla1[[#This Row],[id]],apellido_nombre!$J$2:$K$155,2,FALSE)</f>
        <v>Gómez, Yarela</v>
      </c>
      <c r="D156" s="7" t="s">
        <v>222</v>
      </c>
      <c r="E156" s="7">
        <v>31</v>
      </c>
      <c r="F156" s="4" t="s">
        <v>13</v>
      </c>
      <c r="G156" s="7">
        <v>27</v>
      </c>
      <c r="H156" s="4" t="s">
        <v>43</v>
      </c>
      <c r="I156" s="4"/>
      <c r="J156" s="4"/>
      <c r="K156" s="4" t="s">
        <v>44</v>
      </c>
      <c r="L156" s="4" t="s">
        <v>49</v>
      </c>
      <c r="M156" s="4" t="s">
        <v>557</v>
      </c>
      <c r="N156" s="4" t="s">
        <v>11</v>
      </c>
      <c r="O156" s="4"/>
      <c r="P156" s="4" t="s">
        <v>553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A1:N1079"/>
  <sheetViews>
    <sheetView topLeftCell="A1054" zoomScale="92" zoomScaleNormal="92" workbookViewId="0">
      <selection activeCell="A2" sqref="A2:A1079"/>
    </sheetView>
  </sheetViews>
  <sheetFormatPr defaultColWidth="11" defaultRowHeight="15.5" x14ac:dyDescent="0.35"/>
  <cols>
    <col min="1" max="1" width="21.83203125" style="1" bestFit="1" customWidth="1"/>
    <col min="2" max="2" width="25.83203125" bestFit="1" customWidth="1"/>
    <col min="3" max="6" width="16" customWidth="1"/>
    <col min="7" max="7" width="14.83203125" customWidth="1"/>
    <col min="8" max="8" width="16.83203125" bestFit="1" customWidth="1"/>
    <col min="9" max="9" width="18" bestFit="1" customWidth="1"/>
    <col min="10" max="10" width="15.08203125" bestFit="1" customWidth="1"/>
    <col min="11" max="11" width="10.83203125" style="2"/>
    <col min="12" max="12" width="31.08203125" bestFit="1" customWidth="1"/>
    <col min="13" max="13" width="18" style="41" customWidth="1"/>
    <col min="14" max="14" width="26.58203125" style="3" bestFit="1" customWidth="1"/>
  </cols>
  <sheetData>
    <row r="1" spans="1:14" ht="35.15" customHeight="1" thickBot="1" x14ac:dyDescent="0.4">
      <c r="A1" s="29" t="s">
        <v>378</v>
      </c>
      <c r="B1" s="30" t="s">
        <v>535</v>
      </c>
      <c r="C1" s="31" t="s">
        <v>547</v>
      </c>
      <c r="D1" s="32" t="s">
        <v>548</v>
      </c>
      <c r="E1" s="31" t="s">
        <v>540</v>
      </c>
      <c r="F1" s="32" t="s">
        <v>549</v>
      </c>
      <c r="G1" s="33" t="s">
        <v>541</v>
      </c>
      <c r="H1" s="30" t="s">
        <v>542</v>
      </c>
      <c r="I1" s="33" t="s">
        <v>543</v>
      </c>
      <c r="J1" s="30" t="s">
        <v>544</v>
      </c>
      <c r="K1" s="31" t="s">
        <v>539</v>
      </c>
      <c r="L1" s="30" t="s">
        <v>538</v>
      </c>
      <c r="M1" s="31" t="s">
        <v>537</v>
      </c>
      <c r="N1" s="32" t="s">
        <v>536</v>
      </c>
    </row>
    <row r="2" spans="1:14" x14ac:dyDescent="0.35">
      <c r="A2" s="88" t="s">
        <v>379</v>
      </c>
      <c r="B2" s="8" t="s">
        <v>29</v>
      </c>
      <c r="C2" s="9">
        <v>0.27167630057803499</v>
      </c>
      <c r="D2" s="8">
        <v>0.47591522157996152</v>
      </c>
      <c r="E2" s="9">
        <v>0.2177263969171484</v>
      </c>
      <c r="F2" s="8">
        <v>3.4682080924855488E-2</v>
      </c>
      <c r="G2" s="9">
        <v>141</v>
      </c>
      <c r="H2" s="8">
        <v>247</v>
      </c>
      <c r="I2" s="9">
        <v>113</v>
      </c>
      <c r="J2" s="8">
        <v>18</v>
      </c>
      <c r="K2" s="34">
        <v>519</v>
      </c>
      <c r="L2" s="79" t="s">
        <v>36</v>
      </c>
      <c r="M2" s="82">
        <v>0.85652315616607699</v>
      </c>
      <c r="N2" s="10">
        <v>-0.94686895608902</v>
      </c>
    </row>
    <row r="3" spans="1:14" x14ac:dyDescent="0.35">
      <c r="A3" s="89"/>
      <c r="B3" s="11" t="s">
        <v>25</v>
      </c>
      <c r="C3" s="12">
        <v>0.26023391812865498</v>
      </c>
      <c r="D3" s="11">
        <v>0.50877192982456143</v>
      </c>
      <c r="E3" s="12">
        <v>0.21345029239766081</v>
      </c>
      <c r="F3" s="11">
        <v>1.754385964912281E-2</v>
      </c>
      <c r="G3" s="12">
        <v>89</v>
      </c>
      <c r="H3" s="11">
        <v>174</v>
      </c>
      <c r="I3" s="12">
        <v>73</v>
      </c>
      <c r="J3" s="11">
        <v>6</v>
      </c>
      <c r="K3" s="35">
        <v>342</v>
      </c>
      <c r="L3" s="80"/>
      <c r="M3" s="83"/>
      <c r="N3" s="13">
        <v>-0.87183660268783603</v>
      </c>
    </row>
    <row r="4" spans="1:14" x14ac:dyDescent="0.35">
      <c r="A4" s="89"/>
      <c r="B4" s="11" t="s">
        <v>63</v>
      </c>
      <c r="C4" s="12">
        <v>0.2288135593220339</v>
      </c>
      <c r="D4" s="11">
        <v>0.55932203389830504</v>
      </c>
      <c r="E4" s="12">
        <v>0.19491525423728809</v>
      </c>
      <c r="F4" s="11">
        <v>1.6949152542372881E-2</v>
      </c>
      <c r="G4" s="12">
        <v>54</v>
      </c>
      <c r="H4" s="11">
        <v>132</v>
      </c>
      <c r="I4" s="12">
        <v>46</v>
      </c>
      <c r="J4" s="11">
        <v>4</v>
      </c>
      <c r="K4" s="35">
        <v>236</v>
      </c>
      <c r="L4" s="80"/>
      <c r="M4" s="83"/>
      <c r="N4" s="13">
        <v>-0.76463824510574296</v>
      </c>
    </row>
    <row r="5" spans="1:14" x14ac:dyDescent="0.35">
      <c r="A5" s="89"/>
      <c r="B5" s="11" t="s">
        <v>380</v>
      </c>
      <c r="C5" s="12">
        <v>0.23037974683544299</v>
      </c>
      <c r="D5" s="11">
        <v>0.48354430379746838</v>
      </c>
      <c r="E5" s="12">
        <v>0.27594936708860762</v>
      </c>
      <c r="F5" s="11">
        <v>1.0126582278481009E-2</v>
      </c>
      <c r="G5" s="12">
        <v>91</v>
      </c>
      <c r="H5" s="11">
        <v>191</v>
      </c>
      <c r="I5" s="12">
        <v>109</v>
      </c>
      <c r="J5" s="11">
        <v>4</v>
      </c>
      <c r="K5" s="35">
        <v>395</v>
      </c>
      <c r="L5" s="80"/>
      <c r="M5" s="83"/>
      <c r="N5" s="13">
        <v>-0.96333050727844205</v>
      </c>
    </row>
    <row r="6" spans="1:14" x14ac:dyDescent="0.35">
      <c r="A6" s="89"/>
      <c r="B6" s="11" t="s">
        <v>11</v>
      </c>
      <c r="C6" s="12">
        <v>0.25044091710758382</v>
      </c>
      <c r="D6" s="11">
        <v>0.45149911816578481</v>
      </c>
      <c r="E6" s="12">
        <v>0.2451499118165785</v>
      </c>
      <c r="F6" s="11">
        <v>5.2910052910052907E-2</v>
      </c>
      <c r="G6" s="12">
        <v>142</v>
      </c>
      <c r="H6" s="11">
        <v>256</v>
      </c>
      <c r="I6" s="12">
        <v>139</v>
      </c>
      <c r="J6" s="11">
        <v>30</v>
      </c>
      <c r="K6" s="35">
        <v>567</v>
      </c>
      <c r="L6" s="80"/>
      <c r="M6" s="83"/>
      <c r="N6" s="13">
        <v>-0.45570507645607</v>
      </c>
    </row>
    <row r="7" spans="1:14" x14ac:dyDescent="0.35">
      <c r="A7" s="89"/>
      <c r="B7" s="11" t="s">
        <v>21</v>
      </c>
      <c r="C7" s="12">
        <v>0.53125</v>
      </c>
      <c r="D7" s="11">
        <v>0.29769736842105271</v>
      </c>
      <c r="E7" s="12">
        <v>0.14638157894736839</v>
      </c>
      <c r="F7" s="11">
        <v>2.4671052631578951E-2</v>
      </c>
      <c r="G7" s="12">
        <v>323</v>
      </c>
      <c r="H7" s="11">
        <v>181</v>
      </c>
      <c r="I7" s="12">
        <v>89</v>
      </c>
      <c r="J7" s="11">
        <v>15</v>
      </c>
      <c r="K7" s="35">
        <v>608</v>
      </c>
      <c r="L7" s="80"/>
      <c r="M7" s="83"/>
      <c r="N7" s="13">
        <v>-0.83486479520797696</v>
      </c>
    </row>
    <row r="8" spans="1:14" ht="16" thickBot="1" x14ac:dyDescent="0.4">
      <c r="A8" s="90"/>
      <c r="B8" s="14" t="s">
        <v>381</v>
      </c>
      <c r="C8" s="15">
        <v>0.26190476190476192</v>
      </c>
      <c r="D8" s="14">
        <v>0.47023809523809518</v>
      </c>
      <c r="E8" s="15">
        <v>0.26190476190476192</v>
      </c>
      <c r="F8" s="14">
        <v>5.9523809523809521E-3</v>
      </c>
      <c r="G8" s="15">
        <v>88</v>
      </c>
      <c r="H8" s="14">
        <v>158</v>
      </c>
      <c r="I8" s="15">
        <v>88</v>
      </c>
      <c r="J8" s="14">
        <v>2</v>
      </c>
      <c r="K8" s="36">
        <v>336</v>
      </c>
      <c r="L8" s="81"/>
      <c r="M8" s="84"/>
      <c r="N8" s="16">
        <v>-0.85686087608337402</v>
      </c>
    </row>
    <row r="9" spans="1:14" x14ac:dyDescent="0.35">
      <c r="A9" s="91" t="s">
        <v>382</v>
      </c>
      <c r="B9" s="17" t="s">
        <v>29</v>
      </c>
      <c r="C9" s="18">
        <v>0.49903660886319839</v>
      </c>
      <c r="D9" s="17">
        <v>0.43545279383429669</v>
      </c>
      <c r="E9" s="18">
        <v>1.926782273603083E-2</v>
      </c>
      <c r="F9" s="17">
        <v>4.6242774566473993E-2</v>
      </c>
      <c r="G9" s="18">
        <v>259</v>
      </c>
      <c r="H9" s="17">
        <v>226</v>
      </c>
      <c r="I9" s="18">
        <v>10</v>
      </c>
      <c r="J9" s="17">
        <v>24</v>
      </c>
      <c r="K9" s="37">
        <v>519</v>
      </c>
      <c r="L9" s="76" t="s">
        <v>67</v>
      </c>
      <c r="M9" s="85">
        <v>-0.88560730218887296</v>
      </c>
      <c r="N9" s="19">
        <v>0.66718769073486295</v>
      </c>
    </row>
    <row r="10" spans="1:14" x14ac:dyDescent="0.35">
      <c r="A10" s="92"/>
      <c r="B10" s="20" t="s">
        <v>25</v>
      </c>
      <c r="C10" s="21">
        <v>0.69883040935672514</v>
      </c>
      <c r="D10" s="20">
        <v>0.23684210526315791</v>
      </c>
      <c r="E10" s="21">
        <v>3.5087719298245612E-2</v>
      </c>
      <c r="F10" s="20">
        <v>2.923976608187134E-2</v>
      </c>
      <c r="G10" s="21">
        <v>239</v>
      </c>
      <c r="H10" s="20">
        <v>81</v>
      </c>
      <c r="I10" s="21">
        <v>12</v>
      </c>
      <c r="J10" s="20">
        <v>10</v>
      </c>
      <c r="K10" s="38">
        <v>342</v>
      </c>
      <c r="L10" s="77"/>
      <c r="M10" s="86"/>
      <c r="N10" s="22">
        <v>0.94184499979019198</v>
      </c>
    </row>
    <row r="11" spans="1:14" x14ac:dyDescent="0.35">
      <c r="A11" s="92"/>
      <c r="B11" s="20" t="s">
        <v>63</v>
      </c>
      <c r="C11" s="21">
        <v>0.72457627118644063</v>
      </c>
      <c r="D11" s="20">
        <v>0.21610169491525419</v>
      </c>
      <c r="E11" s="21">
        <v>4.6610169491525417E-2</v>
      </c>
      <c r="F11" s="20">
        <v>1.271186440677966E-2</v>
      </c>
      <c r="G11" s="21">
        <v>171</v>
      </c>
      <c r="H11" s="20">
        <v>51</v>
      </c>
      <c r="I11" s="21">
        <v>11</v>
      </c>
      <c r="J11" s="20">
        <v>3</v>
      </c>
      <c r="K11" s="38">
        <v>236</v>
      </c>
      <c r="L11" s="77"/>
      <c r="M11" s="86"/>
      <c r="N11" s="22">
        <v>0.564061999320984</v>
      </c>
    </row>
    <row r="12" spans="1:14" x14ac:dyDescent="0.35">
      <c r="A12" s="92"/>
      <c r="B12" s="20" t="s">
        <v>380</v>
      </c>
      <c r="C12" s="21">
        <v>0.74177215189873413</v>
      </c>
      <c r="D12" s="20">
        <v>0.17468354430379751</v>
      </c>
      <c r="E12" s="21">
        <v>5.3164556962025322E-2</v>
      </c>
      <c r="F12" s="20">
        <v>3.037974683544304E-2</v>
      </c>
      <c r="G12" s="21">
        <v>293</v>
      </c>
      <c r="H12" s="20">
        <v>69</v>
      </c>
      <c r="I12" s="21">
        <v>21</v>
      </c>
      <c r="J12" s="20">
        <v>12</v>
      </c>
      <c r="K12" s="38">
        <v>395</v>
      </c>
      <c r="L12" s="77"/>
      <c r="M12" s="86"/>
      <c r="N12" s="22">
        <v>0.75080001354217496</v>
      </c>
    </row>
    <row r="13" spans="1:14" x14ac:dyDescent="0.35">
      <c r="A13" s="92"/>
      <c r="B13" s="20" t="s">
        <v>11</v>
      </c>
      <c r="C13" s="21">
        <v>0.75308641975308643</v>
      </c>
      <c r="D13" s="20">
        <v>0.14109347442680781</v>
      </c>
      <c r="E13" s="21">
        <v>7.407407407407407E-2</v>
      </c>
      <c r="F13" s="20">
        <v>3.1746031746031737E-2</v>
      </c>
      <c r="G13" s="21">
        <v>427</v>
      </c>
      <c r="H13" s="20">
        <v>80</v>
      </c>
      <c r="I13" s="21">
        <v>42</v>
      </c>
      <c r="J13" s="20">
        <v>18</v>
      </c>
      <c r="K13" s="38">
        <v>567</v>
      </c>
      <c r="L13" s="77"/>
      <c r="M13" s="86"/>
      <c r="N13" s="22">
        <v>0.76415354013443004</v>
      </c>
    </row>
    <row r="14" spans="1:14" x14ac:dyDescent="0.35">
      <c r="A14" s="92"/>
      <c r="B14" s="20" t="s">
        <v>21</v>
      </c>
      <c r="C14" s="21">
        <v>0.32565789473684209</v>
      </c>
      <c r="D14" s="20">
        <v>0.56743421052631582</v>
      </c>
      <c r="E14" s="21">
        <v>6.0855263157894739E-2</v>
      </c>
      <c r="F14" s="20">
        <v>4.6052631578947373E-2</v>
      </c>
      <c r="G14" s="21">
        <v>198</v>
      </c>
      <c r="H14" s="20">
        <v>345</v>
      </c>
      <c r="I14" s="21">
        <v>37</v>
      </c>
      <c r="J14" s="20">
        <v>28</v>
      </c>
      <c r="K14" s="38">
        <v>608</v>
      </c>
      <c r="L14" s="77"/>
      <c r="M14" s="86"/>
      <c r="N14" s="22">
        <v>0.91732674837112405</v>
      </c>
    </row>
    <row r="15" spans="1:14" ht="16" thickBot="1" x14ac:dyDescent="0.4">
      <c r="A15" s="93"/>
      <c r="B15" s="26" t="s">
        <v>381</v>
      </c>
      <c r="C15" s="27">
        <v>0.63095238095238093</v>
      </c>
      <c r="D15" s="26">
        <v>0.23809523809523811</v>
      </c>
      <c r="E15" s="27">
        <v>8.9285714285714288E-2</v>
      </c>
      <c r="F15" s="26">
        <v>4.1666666666666657E-2</v>
      </c>
      <c r="G15" s="27">
        <v>212</v>
      </c>
      <c r="H15" s="26">
        <v>80</v>
      </c>
      <c r="I15" s="27">
        <v>30</v>
      </c>
      <c r="J15" s="26">
        <v>14</v>
      </c>
      <c r="K15" s="39">
        <v>336</v>
      </c>
      <c r="L15" s="78"/>
      <c r="M15" s="87"/>
      <c r="N15" s="28">
        <v>0.86803728342056297</v>
      </c>
    </row>
    <row r="16" spans="1:14" x14ac:dyDescent="0.35">
      <c r="A16" s="88" t="s">
        <v>383</v>
      </c>
      <c r="B16" s="8" t="s">
        <v>29</v>
      </c>
      <c r="C16" s="9">
        <v>0.59537572254335258</v>
      </c>
      <c r="D16" s="8">
        <v>0.37379576107899809</v>
      </c>
      <c r="E16" s="9">
        <v>1.926782273603083E-3</v>
      </c>
      <c r="F16" s="8">
        <v>2.8901734104046239E-2</v>
      </c>
      <c r="G16" s="9">
        <v>309</v>
      </c>
      <c r="H16" s="8">
        <v>194</v>
      </c>
      <c r="I16" s="9">
        <v>1</v>
      </c>
      <c r="J16" s="8">
        <v>15</v>
      </c>
      <c r="K16" s="34">
        <v>519</v>
      </c>
      <c r="L16" s="79" t="s">
        <v>31</v>
      </c>
      <c r="M16" s="82">
        <v>-0.92628520727157604</v>
      </c>
      <c r="N16" s="10">
        <v>0.90230041742324796</v>
      </c>
    </row>
    <row r="17" spans="1:14" x14ac:dyDescent="0.35">
      <c r="A17" s="89"/>
      <c r="B17" s="11" t="s">
        <v>25</v>
      </c>
      <c r="C17" s="12">
        <v>0.6257309941520468</v>
      </c>
      <c r="D17" s="11">
        <v>0.34795321637426901</v>
      </c>
      <c r="E17" s="12">
        <v>5.8479532163742687E-3</v>
      </c>
      <c r="F17" s="11">
        <v>2.046783625730994E-2</v>
      </c>
      <c r="G17" s="12">
        <v>214</v>
      </c>
      <c r="H17" s="11">
        <v>119</v>
      </c>
      <c r="I17" s="12">
        <v>2</v>
      </c>
      <c r="J17" s="11">
        <v>7</v>
      </c>
      <c r="K17" s="35">
        <v>342</v>
      </c>
      <c r="L17" s="80"/>
      <c r="M17" s="83"/>
      <c r="N17" s="13">
        <v>0.738048195838928</v>
      </c>
    </row>
    <row r="18" spans="1:14" x14ac:dyDescent="0.35">
      <c r="A18" s="89"/>
      <c r="B18" s="11" t="s">
        <v>63</v>
      </c>
      <c r="C18" s="12">
        <v>0.76694915254237284</v>
      </c>
      <c r="D18" s="11">
        <v>0.21610169491525419</v>
      </c>
      <c r="E18" s="12">
        <v>4.2372881355932203E-3</v>
      </c>
      <c r="F18" s="11">
        <v>1.271186440677966E-2</v>
      </c>
      <c r="G18" s="12">
        <v>181</v>
      </c>
      <c r="H18" s="11">
        <v>51</v>
      </c>
      <c r="I18" s="12">
        <v>1</v>
      </c>
      <c r="J18" s="11">
        <v>3</v>
      </c>
      <c r="K18" s="35">
        <v>236</v>
      </c>
      <c r="L18" s="80"/>
      <c r="M18" s="83"/>
      <c r="N18" s="13">
        <v>0.47878625988960299</v>
      </c>
    </row>
    <row r="19" spans="1:14" x14ac:dyDescent="0.35">
      <c r="A19" s="89"/>
      <c r="B19" s="11" t="s">
        <v>380</v>
      </c>
      <c r="C19" s="12">
        <v>0.77721518987341776</v>
      </c>
      <c r="D19" s="11">
        <v>0.17974683544303799</v>
      </c>
      <c r="E19" s="12">
        <v>4.0506329113924051E-2</v>
      </c>
      <c r="F19" s="11">
        <v>2.5316455696202532E-3</v>
      </c>
      <c r="G19" s="12">
        <v>307</v>
      </c>
      <c r="H19" s="11">
        <v>71</v>
      </c>
      <c r="I19" s="12">
        <v>16</v>
      </c>
      <c r="J19" s="11">
        <v>1</v>
      </c>
      <c r="K19" s="35">
        <v>395</v>
      </c>
      <c r="L19" s="80"/>
      <c r="M19" s="83"/>
      <c r="N19" s="13">
        <v>0.95661807060241699</v>
      </c>
    </row>
    <row r="20" spans="1:14" x14ac:dyDescent="0.35">
      <c r="A20" s="89"/>
      <c r="B20" s="11" t="s">
        <v>11</v>
      </c>
      <c r="C20" s="12">
        <v>0.7971781305114638</v>
      </c>
      <c r="D20" s="11">
        <v>0.17636684303350969</v>
      </c>
      <c r="E20" s="12">
        <v>5.2910052910052907E-3</v>
      </c>
      <c r="F20" s="11">
        <v>2.1164021164021159E-2</v>
      </c>
      <c r="G20" s="12">
        <v>452</v>
      </c>
      <c r="H20" s="11">
        <v>100</v>
      </c>
      <c r="I20" s="12">
        <v>3</v>
      </c>
      <c r="J20" s="11">
        <v>12</v>
      </c>
      <c r="K20" s="35">
        <v>567</v>
      </c>
      <c r="L20" s="80"/>
      <c r="M20" s="83"/>
      <c r="N20" s="13">
        <v>0.76607120037078902</v>
      </c>
    </row>
    <row r="21" spans="1:14" x14ac:dyDescent="0.35">
      <c r="A21" s="89"/>
      <c r="B21" s="11" t="s">
        <v>21</v>
      </c>
      <c r="C21" s="12">
        <v>0.45394736842105271</v>
      </c>
      <c r="D21" s="11">
        <v>0.50328947368421051</v>
      </c>
      <c r="E21" s="12">
        <v>1.6447368421052631E-3</v>
      </c>
      <c r="F21" s="11">
        <v>4.1118421052631582E-2</v>
      </c>
      <c r="G21" s="12">
        <v>276</v>
      </c>
      <c r="H21" s="11">
        <v>306</v>
      </c>
      <c r="I21" s="12">
        <v>1</v>
      </c>
      <c r="J21" s="11">
        <v>25</v>
      </c>
      <c r="K21" s="35">
        <v>608</v>
      </c>
      <c r="L21" s="80"/>
      <c r="M21" s="83"/>
      <c r="N21" s="13">
        <v>0.93088358640670799</v>
      </c>
    </row>
    <row r="22" spans="1:14" ht="16" thickBot="1" x14ac:dyDescent="0.4">
      <c r="A22" s="90"/>
      <c r="B22" s="14" t="s">
        <v>381</v>
      </c>
      <c r="C22" s="15">
        <v>0.71130952380952384</v>
      </c>
      <c r="D22" s="14">
        <v>0.25297619047619052</v>
      </c>
      <c r="E22" s="15">
        <v>1.785714285714286E-2</v>
      </c>
      <c r="F22" s="14">
        <v>1.785714285714286E-2</v>
      </c>
      <c r="G22" s="15">
        <v>239</v>
      </c>
      <c r="H22" s="14">
        <v>85</v>
      </c>
      <c r="I22" s="15">
        <v>6</v>
      </c>
      <c r="J22" s="14">
        <v>6</v>
      </c>
      <c r="K22" s="36">
        <v>336</v>
      </c>
      <c r="L22" s="81"/>
      <c r="M22" s="84"/>
      <c r="N22" s="16">
        <v>0.96969735622405995</v>
      </c>
    </row>
    <row r="23" spans="1:14" x14ac:dyDescent="0.35">
      <c r="A23" s="91" t="s">
        <v>384</v>
      </c>
      <c r="B23" s="17" t="s">
        <v>29</v>
      </c>
      <c r="C23" s="18">
        <v>0.46820809248554912</v>
      </c>
      <c r="D23" s="17">
        <v>0.34296724470134882</v>
      </c>
      <c r="E23" s="18">
        <v>1.348747591522158E-2</v>
      </c>
      <c r="F23" s="17">
        <v>0.1753371868978805</v>
      </c>
      <c r="G23" s="18">
        <v>243</v>
      </c>
      <c r="H23" s="17">
        <v>178</v>
      </c>
      <c r="I23" s="18">
        <v>7</v>
      </c>
      <c r="J23" s="17">
        <v>91</v>
      </c>
      <c r="K23" s="37">
        <v>519</v>
      </c>
      <c r="L23" s="76" t="s">
        <v>67</v>
      </c>
      <c r="M23" s="85">
        <v>-0.79295927286148105</v>
      </c>
      <c r="N23" s="19">
        <v>0.80420070886611905</v>
      </c>
    </row>
    <row r="24" spans="1:14" x14ac:dyDescent="0.35">
      <c r="A24" s="92"/>
      <c r="B24" s="20" t="s">
        <v>25</v>
      </c>
      <c r="C24" s="21">
        <v>0.65789473684210531</v>
      </c>
      <c r="D24" s="20">
        <v>0.28947368421052633</v>
      </c>
      <c r="E24" s="21">
        <v>2.923976608187134E-2</v>
      </c>
      <c r="F24" s="20">
        <v>2.3391812865497071E-2</v>
      </c>
      <c r="G24" s="21">
        <v>225</v>
      </c>
      <c r="H24" s="20">
        <v>99</v>
      </c>
      <c r="I24" s="21">
        <v>10</v>
      </c>
      <c r="J24" s="20">
        <v>8</v>
      </c>
      <c r="K24" s="38">
        <v>342</v>
      </c>
      <c r="L24" s="77"/>
      <c r="M24" s="86"/>
      <c r="N24" s="22">
        <v>0.734391629695892</v>
      </c>
    </row>
    <row r="25" spans="1:14" x14ac:dyDescent="0.35">
      <c r="A25" s="92"/>
      <c r="B25" s="20" t="s">
        <v>63</v>
      </c>
      <c r="C25" s="21">
        <v>0.71610169491525422</v>
      </c>
      <c r="D25" s="20">
        <v>0.21186440677966101</v>
      </c>
      <c r="E25" s="21">
        <v>5.0847457627118647E-2</v>
      </c>
      <c r="F25" s="20">
        <v>2.1186440677966101E-2</v>
      </c>
      <c r="G25" s="21">
        <v>169</v>
      </c>
      <c r="H25" s="20">
        <v>50</v>
      </c>
      <c r="I25" s="21">
        <v>12</v>
      </c>
      <c r="J25" s="20">
        <v>5</v>
      </c>
      <c r="K25" s="38">
        <v>236</v>
      </c>
      <c r="L25" s="77"/>
      <c r="M25" s="86"/>
      <c r="N25" s="22">
        <v>0.31749221682548501</v>
      </c>
    </row>
    <row r="26" spans="1:14" x14ac:dyDescent="0.35">
      <c r="A26" s="92"/>
      <c r="B26" s="20" t="s">
        <v>380</v>
      </c>
      <c r="C26" s="21">
        <v>0.759493670886076</v>
      </c>
      <c r="D26" s="20">
        <v>0.20759493670886081</v>
      </c>
      <c r="E26" s="21">
        <v>3.037974683544304E-2</v>
      </c>
      <c r="F26" s="20">
        <v>2.5316455696202532E-3</v>
      </c>
      <c r="G26" s="21">
        <v>300</v>
      </c>
      <c r="H26" s="20">
        <v>82</v>
      </c>
      <c r="I26" s="21">
        <v>12</v>
      </c>
      <c r="J26" s="20">
        <v>1</v>
      </c>
      <c r="K26" s="38">
        <v>395</v>
      </c>
      <c r="L26" s="77"/>
      <c r="M26" s="86"/>
      <c r="N26" s="22">
        <v>0.66571795940399203</v>
      </c>
    </row>
    <row r="27" spans="1:14" x14ac:dyDescent="0.35">
      <c r="A27" s="92"/>
      <c r="B27" s="20" t="s">
        <v>11</v>
      </c>
      <c r="C27" s="21">
        <v>0.70546737213403876</v>
      </c>
      <c r="D27" s="20">
        <v>0.1728395061728395</v>
      </c>
      <c r="E27" s="21">
        <v>9.3474426807760136E-2</v>
      </c>
      <c r="F27" s="20">
        <v>2.821869488536155E-2</v>
      </c>
      <c r="G27" s="21">
        <v>400</v>
      </c>
      <c r="H27" s="20">
        <v>98</v>
      </c>
      <c r="I27" s="21">
        <v>53</v>
      </c>
      <c r="J27" s="20">
        <v>16</v>
      </c>
      <c r="K27" s="38">
        <v>567</v>
      </c>
      <c r="L27" s="77"/>
      <c r="M27" s="86"/>
      <c r="N27" s="22">
        <v>0.69983351230621305</v>
      </c>
    </row>
    <row r="28" spans="1:14" x14ac:dyDescent="0.35">
      <c r="A28" s="92"/>
      <c r="B28" s="20" t="s">
        <v>21</v>
      </c>
      <c r="C28" s="21">
        <v>0.375</v>
      </c>
      <c r="D28" s="20">
        <v>0.57565789473684215</v>
      </c>
      <c r="E28" s="21">
        <v>3.453947368421053E-2</v>
      </c>
      <c r="F28" s="20">
        <v>1.4802631578947369E-2</v>
      </c>
      <c r="G28" s="21">
        <v>228</v>
      </c>
      <c r="H28" s="20">
        <v>350</v>
      </c>
      <c r="I28" s="21">
        <v>21</v>
      </c>
      <c r="J28" s="20">
        <v>9</v>
      </c>
      <c r="K28" s="38">
        <v>608</v>
      </c>
      <c r="L28" s="77"/>
      <c r="M28" s="86"/>
      <c r="N28" s="22">
        <v>0.74627506732940696</v>
      </c>
    </row>
    <row r="29" spans="1:14" ht="16" thickBot="1" x14ac:dyDescent="0.4">
      <c r="A29" s="93"/>
      <c r="B29" s="26" t="s">
        <v>381</v>
      </c>
      <c r="C29" s="27">
        <v>0.6428571428571429</v>
      </c>
      <c r="D29" s="26">
        <v>0.2767857142857143</v>
      </c>
      <c r="E29" s="27">
        <v>5.9523809523809521E-2</v>
      </c>
      <c r="F29" s="26">
        <v>2.0833333333333329E-2</v>
      </c>
      <c r="G29" s="27">
        <v>216</v>
      </c>
      <c r="H29" s="26">
        <v>93</v>
      </c>
      <c r="I29" s="27">
        <v>20</v>
      </c>
      <c r="J29" s="26">
        <v>7</v>
      </c>
      <c r="K29" s="39">
        <v>336</v>
      </c>
      <c r="L29" s="78"/>
      <c r="M29" s="87"/>
      <c r="N29" s="28">
        <v>0.74622607231140103</v>
      </c>
    </row>
    <row r="30" spans="1:14" x14ac:dyDescent="0.35">
      <c r="A30" s="88" t="s">
        <v>385</v>
      </c>
      <c r="B30" s="8" t="s">
        <v>29</v>
      </c>
      <c r="C30" s="9">
        <v>0.51445086705202314</v>
      </c>
      <c r="D30" s="8">
        <v>0.44123314065510599</v>
      </c>
      <c r="E30" s="9">
        <v>1.348747591522158E-2</v>
      </c>
      <c r="F30" s="8">
        <v>3.0828516377649329E-2</v>
      </c>
      <c r="G30" s="9">
        <v>267</v>
      </c>
      <c r="H30" s="8">
        <v>229</v>
      </c>
      <c r="I30" s="9">
        <v>7</v>
      </c>
      <c r="J30" s="8">
        <v>16</v>
      </c>
      <c r="K30" s="34">
        <v>519</v>
      </c>
      <c r="L30" s="79" t="s">
        <v>28</v>
      </c>
      <c r="M30" s="82">
        <v>-0.89286345243454002</v>
      </c>
      <c r="N30" s="10">
        <v>0.60433554649353005</v>
      </c>
    </row>
    <row r="31" spans="1:14" x14ac:dyDescent="0.35">
      <c r="A31" s="89"/>
      <c r="B31" s="11" t="s">
        <v>25</v>
      </c>
      <c r="C31" s="12">
        <v>0.6871345029239766</v>
      </c>
      <c r="D31" s="11">
        <v>0.27777777777777779</v>
      </c>
      <c r="E31" s="12">
        <v>5.8479532163742687E-3</v>
      </c>
      <c r="F31" s="11">
        <v>2.923976608187134E-2</v>
      </c>
      <c r="G31" s="12">
        <v>235</v>
      </c>
      <c r="H31" s="11">
        <v>95</v>
      </c>
      <c r="I31" s="12">
        <v>2</v>
      </c>
      <c r="J31" s="11">
        <v>10</v>
      </c>
      <c r="K31" s="35">
        <v>342</v>
      </c>
      <c r="L31" s="80"/>
      <c r="M31" s="83"/>
      <c r="N31" s="13">
        <v>0.821214258670807</v>
      </c>
    </row>
    <row r="32" spans="1:14" x14ac:dyDescent="0.35">
      <c r="A32" s="89"/>
      <c r="B32" s="11" t="s">
        <v>63</v>
      </c>
      <c r="C32" s="12">
        <v>0.72033898305084743</v>
      </c>
      <c r="D32" s="11">
        <v>0.21186440677966101</v>
      </c>
      <c r="E32" s="12">
        <v>4.2372881355932202E-2</v>
      </c>
      <c r="F32" s="11">
        <v>2.542372881355932E-2</v>
      </c>
      <c r="G32" s="12">
        <v>170</v>
      </c>
      <c r="H32" s="11">
        <v>50</v>
      </c>
      <c r="I32" s="12">
        <v>10</v>
      </c>
      <c r="J32" s="11">
        <v>6</v>
      </c>
      <c r="K32" s="35">
        <v>236</v>
      </c>
      <c r="L32" s="80"/>
      <c r="M32" s="83"/>
      <c r="N32" s="13">
        <v>0.37460175156593301</v>
      </c>
    </row>
    <row r="33" spans="1:14" x14ac:dyDescent="0.35">
      <c r="A33" s="89"/>
      <c r="B33" s="11" t="s">
        <v>380</v>
      </c>
      <c r="C33" s="12">
        <v>0.76708860759493669</v>
      </c>
      <c r="D33" s="11">
        <v>0.1569620253164557</v>
      </c>
      <c r="E33" s="12">
        <v>4.5569620253164557E-2</v>
      </c>
      <c r="F33" s="11">
        <v>3.037974683544304E-2</v>
      </c>
      <c r="G33" s="12">
        <v>303</v>
      </c>
      <c r="H33" s="11">
        <v>62</v>
      </c>
      <c r="I33" s="12">
        <v>18</v>
      </c>
      <c r="J33" s="11">
        <v>12</v>
      </c>
      <c r="K33" s="35">
        <v>395</v>
      </c>
      <c r="L33" s="80"/>
      <c r="M33" s="83"/>
      <c r="N33" s="13">
        <v>0.81670635938644398</v>
      </c>
    </row>
    <row r="34" spans="1:14" x14ac:dyDescent="0.35">
      <c r="A34" s="89"/>
      <c r="B34" s="11" t="s">
        <v>11</v>
      </c>
      <c r="C34" s="12">
        <v>0.82010582010582012</v>
      </c>
      <c r="D34" s="11">
        <v>0.14462081128747789</v>
      </c>
      <c r="E34" s="12">
        <v>7.0546737213403876E-3</v>
      </c>
      <c r="F34" s="11">
        <v>2.821869488536155E-2</v>
      </c>
      <c r="G34" s="12">
        <v>465</v>
      </c>
      <c r="H34" s="11">
        <v>82</v>
      </c>
      <c r="I34" s="12">
        <v>4</v>
      </c>
      <c r="J34" s="11">
        <v>16</v>
      </c>
      <c r="K34" s="35">
        <v>567</v>
      </c>
      <c r="L34" s="80"/>
      <c r="M34" s="83"/>
      <c r="N34" s="13">
        <v>0.99722695350646995</v>
      </c>
    </row>
    <row r="35" spans="1:14" x14ac:dyDescent="0.35">
      <c r="A35" s="89"/>
      <c r="B35" s="11" t="s">
        <v>21</v>
      </c>
      <c r="C35" s="12">
        <v>0.40460526315789469</v>
      </c>
      <c r="D35" s="11">
        <v>0.53947368421052633</v>
      </c>
      <c r="E35" s="12">
        <v>2.1381578947368422E-2</v>
      </c>
      <c r="F35" s="11">
        <v>3.453947368421053E-2</v>
      </c>
      <c r="G35" s="12">
        <v>246</v>
      </c>
      <c r="H35" s="11">
        <v>328</v>
      </c>
      <c r="I35" s="12">
        <v>13</v>
      </c>
      <c r="J35" s="11">
        <v>21</v>
      </c>
      <c r="K35" s="35">
        <v>608</v>
      </c>
      <c r="L35" s="80"/>
      <c r="M35" s="83"/>
      <c r="N35" s="13">
        <v>0.98053401708602905</v>
      </c>
    </row>
    <row r="36" spans="1:14" ht="16" thickBot="1" x14ac:dyDescent="0.4">
      <c r="A36" s="90"/>
      <c r="B36" s="14" t="s">
        <v>381</v>
      </c>
      <c r="C36" s="15">
        <v>0.69345238095238093</v>
      </c>
      <c r="D36" s="14">
        <v>0.23511904761904759</v>
      </c>
      <c r="E36" s="15">
        <v>3.5714285714285712E-2</v>
      </c>
      <c r="F36" s="14">
        <v>3.5714285714285712E-2</v>
      </c>
      <c r="G36" s="15">
        <v>233</v>
      </c>
      <c r="H36" s="14">
        <v>79</v>
      </c>
      <c r="I36" s="15">
        <v>12</v>
      </c>
      <c r="J36" s="14">
        <v>12</v>
      </c>
      <c r="K36" s="36">
        <v>336</v>
      </c>
      <c r="L36" s="81"/>
      <c r="M36" s="84"/>
      <c r="N36" s="16">
        <v>0.92296469211578402</v>
      </c>
    </row>
    <row r="37" spans="1:14" x14ac:dyDescent="0.35">
      <c r="A37" s="91" t="s">
        <v>386</v>
      </c>
      <c r="B37" s="17" t="s">
        <v>29</v>
      </c>
      <c r="C37" s="18">
        <v>0.47976878612716761</v>
      </c>
      <c r="D37" s="17">
        <v>0.41618497109826591</v>
      </c>
      <c r="E37" s="18">
        <v>3.8535645472061647E-2</v>
      </c>
      <c r="F37" s="17">
        <v>6.5510597302504817E-2</v>
      </c>
      <c r="G37" s="18">
        <v>249</v>
      </c>
      <c r="H37" s="17">
        <v>216</v>
      </c>
      <c r="I37" s="18">
        <v>20</v>
      </c>
      <c r="J37" s="17">
        <v>34</v>
      </c>
      <c r="K37" s="37">
        <v>519</v>
      </c>
      <c r="L37" s="76" t="s">
        <v>44</v>
      </c>
      <c r="M37" s="85">
        <v>-0.47713217139244102</v>
      </c>
      <c r="N37" s="19">
        <v>0.466226667165756</v>
      </c>
    </row>
    <row r="38" spans="1:14" x14ac:dyDescent="0.35">
      <c r="A38" s="92"/>
      <c r="B38" s="20" t="s">
        <v>25</v>
      </c>
      <c r="C38" s="21">
        <v>0.46491228070175439</v>
      </c>
      <c r="D38" s="20">
        <v>0.46491228070175439</v>
      </c>
      <c r="E38" s="21">
        <v>6.725146198830409E-2</v>
      </c>
      <c r="F38" s="20">
        <v>2.9239766081871339E-3</v>
      </c>
      <c r="G38" s="21">
        <v>159</v>
      </c>
      <c r="H38" s="20">
        <v>159</v>
      </c>
      <c r="I38" s="21">
        <v>23</v>
      </c>
      <c r="J38" s="20">
        <v>1</v>
      </c>
      <c r="K38" s="38">
        <v>342</v>
      </c>
      <c r="L38" s="77"/>
      <c r="M38" s="86"/>
      <c r="N38" s="22">
        <v>0.43688055872917197</v>
      </c>
    </row>
    <row r="39" spans="1:14" x14ac:dyDescent="0.35">
      <c r="A39" s="92"/>
      <c r="B39" s="20" t="s">
        <v>63</v>
      </c>
      <c r="C39" s="21">
        <v>0.22457627118644069</v>
      </c>
      <c r="D39" s="20">
        <v>0.61016949152542377</v>
      </c>
      <c r="E39" s="21">
        <v>0.15677966101694921</v>
      </c>
      <c r="F39" s="20">
        <v>8.4745762711864406E-3</v>
      </c>
      <c r="G39" s="21">
        <v>53</v>
      </c>
      <c r="H39" s="20">
        <v>144</v>
      </c>
      <c r="I39" s="21">
        <v>37</v>
      </c>
      <c r="J39" s="20">
        <v>2</v>
      </c>
      <c r="K39" s="38">
        <v>236</v>
      </c>
      <c r="L39" s="77"/>
      <c r="M39" s="86"/>
      <c r="N39" s="22">
        <v>-0.267863988876343</v>
      </c>
    </row>
    <row r="40" spans="1:14" x14ac:dyDescent="0.35">
      <c r="A40" s="92"/>
      <c r="B40" s="20" t="s">
        <v>380</v>
      </c>
      <c r="C40" s="21">
        <v>0.72405063291139238</v>
      </c>
      <c r="D40" s="20">
        <v>0.2481012658227848</v>
      </c>
      <c r="E40" s="21">
        <v>2.2784810126582278E-2</v>
      </c>
      <c r="F40" s="20">
        <v>5.0632911392405064E-3</v>
      </c>
      <c r="G40" s="21">
        <v>286</v>
      </c>
      <c r="H40" s="20">
        <v>98</v>
      </c>
      <c r="I40" s="21">
        <v>9</v>
      </c>
      <c r="J40" s="20">
        <v>2</v>
      </c>
      <c r="K40" s="38">
        <v>395</v>
      </c>
      <c r="L40" s="77"/>
      <c r="M40" s="86"/>
      <c r="N40" s="22">
        <v>0.50384169816970803</v>
      </c>
    </row>
    <row r="41" spans="1:14" x14ac:dyDescent="0.35">
      <c r="A41" s="92"/>
      <c r="B41" s="20" t="s">
        <v>11</v>
      </c>
      <c r="C41" s="21">
        <v>0.66490299823633159</v>
      </c>
      <c r="D41" s="20">
        <v>0.2433862433862434</v>
      </c>
      <c r="E41" s="21">
        <v>7.9365079365079361E-2</v>
      </c>
      <c r="F41" s="20">
        <v>1.234567901234568E-2</v>
      </c>
      <c r="G41" s="21">
        <v>377</v>
      </c>
      <c r="H41" s="20">
        <v>138</v>
      </c>
      <c r="I41" s="21">
        <v>45</v>
      </c>
      <c r="J41" s="20">
        <v>7</v>
      </c>
      <c r="K41" s="38">
        <v>567</v>
      </c>
      <c r="L41" s="77"/>
      <c r="M41" s="86"/>
      <c r="N41" s="22">
        <v>0.58331555128097501</v>
      </c>
    </row>
    <row r="42" spans="1:14" x14ac:dyDescent="0.35">
      <c r="A42" s="92"/>
      <c r="B42" s="20" t="s">
        <v>21</v>
      </c>
      <c r="C42" s="21">
        <v>0.27302631578947367</v>
      </c>
      <c r="D42" s="20">
        <v>0.59210526315789469</v>
      </c>
      <c r="E42" s="21">
        <v>7.4013157894736836E-2</v>
      </c>
      <c r="F42" s="20">
        <v>6.0855263157894739E-2</v>
      </c>
      <c r="G42" s="21">
        <v>166</v>
      </c>
      <c r="H42" s="20">
        <v>360</v>
      </c>
      <c r="I42" s="21">
        <v>45</v>
      </c>
      <c r="J42" s="20">
        <v>37</v>
      </c>
      <c r="K42" s="38">
        <v>608</v>
      </c>
      <c r="L42" s="77"/>
      <c r="M42" s="86"/>
      <c r="N42" s="22">
        <v>0.58691859245300304</v>
      </c>
    </row>
    <row r="43" spans="1:14" ht="16" thickBot="1" x14ac:dyDescent="0.4">
      <c r="A43" s="93"/>
      <c r="B43" s="26" t="s">
        <v>381</v>
      </c>
      <c r="C43" s="27">
        <v>0.38988095238095238</v>
      </c>
      <c r="D43" s="26">
        <v>0.47916666666666669</v>
      </c>
      <c r="E43" s="27">
        <v>0.13095238095238099</v>
      </c>
      <c r="F43" s="26">
        <v>0</v>
      </c>
      <c r="G43" s="27">
        <v>131</v>
      </c>
      <c r="H43" s="26">
        <v>161</v>
      </c>
      <c r="I43" s="27">
        <v>44</v>
      </c>
      <c r="J43" s="26">
        <v>0</v>
      </c>
      <c r="K43" s="39">
        <v>336</v>
      </c>
      <c r="L43" s="78"/>
      <c r="M43" s="87"/>
      <c r="N43" s="28">
        <v>0.18614999949932101</v>
      </c>
    </row>
    <row r="44" spans="1:14" x14ac:dyDescent="0.35">
      <c r="A44" s="88" t="s">
        <v>387</v>
      </c>
      <c r="B44" s="8" t="s">
        <v>29</v>
      </c>
      <c r="C44" s="9">
        <v>0.60886319845857417</v>
      </c>
      <c r="D44" s="8">
        <v>0.37957610789980728</v>
      </c>
      <c r="E44" s="9">
        <v>0</v>
      </c>
      <c r="F44" s="8">
        <v>1.15606936416185E-2</v>
      </c>
      <c r="G44" s="9">
        <v>316</v>
      </c>
      <c r="H44" s="8">
        <v>197</v>
      </c>
      <c r="I44" s="9">
        <v>0</v>
      </c>
      <c r="J44" s="8">
        <v>6</v>
      </c>
      <c r="K44" s="34">
        <v>519</v>
      </c>
      <c r="L44" s="79" t="s">
        <v>53</v>
      </c>
      <c r="M44" s="82">
        <v>-0.75395262241363503</v>
      </c>
      <c r="N44" s="10">
        <v>0.88538581132888805</v>
      </c>
    </row>
    <row r="45" spans="1:14" x14ac:dyDescent="0.35">
      <c r="A45" s="89"/>
      <c r="B45" s="11" t="s">
        <v>25</v>
      </c>
      <c r="C45" s="12">
        <v>0.65497076023391809</v>
      </c>
      <c r="D45" s="11">
        <v>0.33040935672514621</v>
      </c>
      <c r="E45" s="12">
        <v>0</v>
      </c>
      <c r="F45" s="11">
        <v>1.461988304093567E-2</v>
      </c>
      <c r="G45" s="12">
        <v>224</v>
      </c>
      <c r="H45" s="11">
        <v>113</v>
      </c>
      <c r="I45" s="12">
        <v>0</v>
      </c>
      <c r="J45" s="11">
        <v>5</v>
      </c>
      <c r="K45" s="35">
        <v>342</v>
      </c>
      <c r="L45" s="80"/>
      <c r="M45" s="83"/>
      <c r="N45" s="13">
        <v>0.67670768499374401</v>
      </c>
    </row>
    <row r="46" spans="1:14" x14ac:dyDescent="0.35">
      <c r="A46" s="89"/>
      <c r="B46" s="11" t="s">
        <v>63</v>
      </c>
      <c r="C46" s="12">
        <v>0.74576271186440679</v>
      </c>
      <c r="D46" s="11">
        <v>0.25</v>
      </c>
      <c r="E46" s="12">
        <v>0</v>
      </c>
      <c r="F46" s="11">
        <v>4.2372881355932203E-3</v>
      </c>
      <c r="G46" s="12">
        <v>176</v>
      </c>
      <c r="H46" s="11">
        <v>59</v>
      </c>
      <c r="I46" s="12">
        <v>0</v>
      </c>
      <c r="J46" s="11">
        <v>1</v>
      </c>
      <c r="K46" s="35">
        <v>236</v>
      </c>
      <c r="L46" s="80"/>
      <c r="M46" s="83"/>
      <c r="N46" s="13">
        <v>0.32583588361740101</v>
      </c>
    </row>
    <row r="47" spans="1:14" x14ac:dyDescent="0.35">
      <c r="A47" s="89"/>
      <c r="B47" s="11" t="s">
        <v>380</v>
      </c>
      <c r="C47" s="12">
        <v>0.75696202531645573</v>
      </c>
      <c r="D47" s="11">
        <v>0.23544303797468349</v>
      </c>
      <c r="E47" s="12">
        <v>0</v>
      </c>
      <c r="F47" s="11">
        <v>7.5949367088607592E-3</v>
      </c>
      <c r="G47" s="12">
        <v>299</v>
      </c>
      <c r="H47" s="11">
        <v>93</v>
      </c>
      <c r="I47" s="12">
        <v>0</v>
      </c>
      <c r="J47" s="11">
        <v>3</v>
      </c>
      <c r="K47" s="35">
        <v>395</v>
      </c>
      <c r="L47" s="80"/>
      <c r="M47" s="83"/>
      <c r="N47" s="13">
        <v>0.58215516805648804</v>
      </c>
    </row>
    <row r="48" spans="1:14" x14ac:dyDescent="0.35">
      <c r="A48" s="89"/>
      <c r="B48" s="11" t="s">
        <v>11</v>
      </c>
      <c r="C48" s="12">
        <v>0.7142857142857143</v>
      </c>
      <c r="D48" s="11">
        <v>0.27865961199294531</v>
      </c>
      <c r="E48" s="12">
        <v>0</v>
      </c>
      <c r="F48" s="11">
        <v>7.0546737213403876E-3</v>
      </c>
      <c r="G48" s="12">
        <v>405</v>
      </c>
      <c r="H48" s="11">
        <v>158</v>
      </c>
      <c r="I48" s="12">
        <v>0</v>
      </c>
      <c r="J48" s="11">
        <v>4</v>
      </c>
      <c r="K48" s="35">
        <v>567</v>
      </c>
      <c r="L48" s="80"/>
      <c r="M48" s="83"/>
      <c r="N48" s="13">
        <v>0.50394058227539096</v>
      </c>
    </row>
    <row r="49" spans="1:14" x14ac:dyDescent="0.35">
      <c r="A49" s="89"/>
      <c r="B49" s="11" t="s">
        <v>21</v>
      </c>
      <c r="C49" s="12">
        <v>0.38651315789473678</v>
      </c>
      <c r="D49" s="11">
        <v>0.59539473684210531</v>
      </c>
      <c r="E49" s="12">
        <v>0</v>
      </c>
      <c r="F49" s="11">
        <v>1.8092105263157899E-2</v>
      </c>
      <c r="G49" s="12">
        <v>235</v>
      </c>
      <c r="H49" s="11">
        <v>362</v>
      </c>
      <c r="I49" s="12">
        <v>0</v>
      </c>
      <c r="J49" s="11">
        <v>11</v>
      </c>
      <c r="K49" s="35">
        <v>608</v>
      </c>
      <c r="L49" s="80"/>
      <c r="M49" s="83"/>
      <c r="N49" s="13">
        <v>0.753010272979736</v>
      </c>
    </row>
    <row r="50" spans="1:14" ht="16" thickBot="1" x14ac:dyDescent="0.4">
      <c r="A50" s="90"/>
      <c r="B50" s="14" t="s">
        <v>381</v>
      </c>
      <c r="C50" s="15">
        <v>0.7142857142857143</v>
      </c>
      <c r="D50" s="14">
        <v>0.27380952380952378</v>
      </c>
      <c r="E50" s="15">
        <v>0</v>
      </c>
      <c r="F50" s="14">
        <v>1.1904761904761901E-2</v>
      </c>
      <c r="G50" s="15">
        <v>240</v>
      </c>
      <c r="H50" s="14">
        <v>92</v>
      </c>
      <c r="I50" s="15">
        <v>0</v>
      </c>
      <c r="J50" s="14">
        <v>4</v>
      </c>
      <c r="K50" s="36">
        <v>336</v>
      </c>
      <c r="L50" s="81"/>
      <c r="M50" s="84"/>
      <c r="N50" s="16">
        <v>0.72226643562316895</v>
      </c>
    </row>
    <row r="51" spans="1:14" x14ac:dyDescent="0.35">
      <c r="A51" s="91" t="s">
        <v>388</v>
      </c>
      <c r="B51" s="17" t="s">
        <v>29</v>
      </c>
      <c r="C51" s="18">
        <v>0.51059730250481694</v>
      </c>
      <c r="D51" s="17">
        <v>0.40269749518304432</v>
      </c>
      <c r="E51" s="18">
        <v>5.7803468208092483E-3</v>
      </c>
      <c r="F51" s="17">
        <v>8.0924855491329481E-2</v>
      </c>
      <c r="G51" s="18">
        <v>265</v>
      </c>
      <c r="H51" s="17">
        <v>209</v>
      </c>
      <c r="I51" s="18">
        <v>3</v>
      </c>
      <c r="J51" s="17">
        <v>42</v>
      </c>
      <c r="K51" s="37">
        <v>519</v>
      </c>
      <c r="L51" s="76" t="s">
        <v>15</v>
      </c>
      <c r="M51" s="85">
        <v>-0.80350732803344704</v>
      </c>
      <c r="N51" s="19">
        <v>0.59495234489440896</v>
      </c>
    </row>
    <row r="52" spans="1:14" x14ac:dyDescent="0.35">
      <c r="A52" s="92"/>
      <c r="B52" s="20" t="s">
        <v>25</v>
      </c>
      <c r="C52" s="21">
        <v>0.68421052631578949</v>
      </c>
      <c r="D52" s="20">
        <v>0.25730994152046782</v>
      </c>
      <c r="E52" s="21">
        <v>4.0935672514619881E-2</v>
      </c>
      <c r="F52" s="20">
        <v>1.754385964912281E-2</v>
      </c>
      <c r="G52" s="21">
        <v>234</v>
      </c>
      <c r="H52" s="20">
        <v>88</v>
      </c>
      <c r="I52" s="21">
        <v>14</v>
      </c>
      <c r="J52" s="20">
        <v>6</v>
      </c>
      <c r="K52" s="38">
        <v>342</v>
      </c>
      <c r="L52" s="77"/>
      <c r="M52" s="86"/>
      <c r="N52" s="22">
        <v>0.87158358097076405</v>
      </c>
    </row>
    <row r="53" spans="1:14" x14ac:dyDescent="0.35">
      <c r="A53" s="92"/>
      <c r="B53" s="20" t="s">
        <v>63</v>
      </c>
      <c r="C53" s="21">
        <v>0.63559322033898302</v>
      </c>
      <c r="D53" s="20">
        <v>0.20338983050847459</v>
      </c>
      <c r="E53" s="21">
        <v>5.5084745762711863E-2</v>
      </c>
      <c r="F53" s="20">
        <v>0.1059322033898305</v>
      </c>
      <c r="G53" s="21">
        <v>150</v>
      </c>
      <c r="H53" s="20">
        <v>48</v>
      </c>
      <c r="I53" s="21">
        <v>13</v>
      </c>
      <c r="J53" s="20">
        <v>25</v>
      </c>
      <c r="K53" s="38">
        <v>236</v>
      </c>
      <c r="L53" s="77"/>
      <c r="M53" s="86"/>
      <c r="N53" s="22">
        <v>0.24524582922458599</v>
      </c>
    </row>
    <row r="54" spans="1:14" x14ac:dyDescent="0.35">
      <c r="A54" s="92"/>
      <c r="B54" s="20" t="s">
        <v>380</v>
      </c>
      <c r="C54" s="21">
        <v>0.74177215189873413</v>
      </c>
      <c r="D54" s="20">
        <v>0.17215189873417719</v>
      </c>
      <c r="E54" s="21">
        <v>4.3037974683544297E-2</v>
      </c>
      <c r="F54" s="20">
        <v>4.3037974683544297E-2</v>
      </c>
      <c r="G54" s="21">
        <v>293</v>
      </c>
      <c r="H54" s="20">
        <v>68</v>
      </c>
      <c r="I54" s="21">
        <v>17</v>
      </c>
      <c r="J54" s="20">
        <v>17</v>
      </c>
      <c r="K54" s="38">
        <v>395</v>
      </c>
      <c r="L54" s="77"/>
      <c r="M54" s="86"/>
      <c r="N54" s="22">
        <v>0.76748329401016202</v>
      </c>
    </row>
    <row r="55" spans="1:14" x14ac:dyDescent="0.35">
      <c r="A55" s="92"/>
      <c r="B55" s="20" t="s">
        <v>11</v>
      </c>
      <c r="C55" s="21">
        <v>0.77601410934744264</v>
      </c>
      <c r="D55" s="20">
        <v>0.14638447971781299</v>
      </c>
      <c r="E55" s="21">
        <v>3.5273368606701938E-3</v>
      </c>
      <c r="F55" s="20">
        <v>7.407407407407407E-2</v>
      </c>
      <c r="G55" s="21">
        <v>440</v>
      </c>
      <c r="H55" s="20">
        <v>83</v>
      </c>
      <c r="I55" s="21">
        <v>2</v>
      </c>
      <c r="J55" s="20">
        <v>42</v>
      </c>
      <c r="K55" s="38">
        <v>567</v>
      </c>
      <c r="L55" s="77"/>
      <c r="M55" s="86"/>
      <c r="N55" s="22">
        <v>0.80551517009735096</v>
      </c>
    </row>
    <row r="56" spans="1:14" x14ac:dyDescent="0.35">
      <c r="A56" s="92"/>
      <c r="B56" s="20" t="s">
        <v>21</v>
      </c>
      <c r="C56" s="21">
        <v>0.41118421052631582</v>
      </c>
      <c r="D56" s="20">
        <v>0.5625</v>
      </c>
      <c r="E56" s="21">
        <v>1.6447368421052631E-2</v>
      </c>
      <c r="F56" s="20">
        <v>9.8684210526315784E-3</v>
      </c>
      <c r="G56" s="21">
        <v>250</v>
      </c>
      <c r="H56" s="20">
        <v>342</v>
      </c>
      <c r="I56" s="21">
        <v>10</v>
      </c>
      <c r="J56" s="20">
        <v>6</v>
      </c>
      <c r="K56" s="38">
        <v>608</v>
      </c>
      <c r="L56" s="77"/>
      <c r="M56" s="86"/>
      <c r="N56" s="22">
        <v>0.76383298635482799</v>
      </c>
    </row>
    <row r="57" spans="1:14" ht="16" thickBot="1" x14ac:dyDescent="0.4">
      <c r="A57" s="93"/>
      <c r="B57" s="26" t="s">
        <v>381</v>
      </c>
      <c r="C57" s="27">
        <v>0.71726190476190477</v>
      </c>
      <c r="D57" s="26">
        <v>0.2142857142857143</v>
      </c>
      <c r="E57" s="27">
        <v>1.488095238095238E-2</v>
      </c>
      <c r="F57" s="26">
        <v>5.3571428571428568E-2</v>
      </c>
      <c r="G57" s="27">
        <v>241</v>
      </c>
      <c r="H57" s="26">
        <v>72</v>
      </c>
      <c r="I57" s="27">
        <v>5</v>
      </c>
      <c r="J57" s="26">
        <v>18</v>
      </c>
      <c r="K57" s="39">
        <v>336</v>
      </c>
      <c r="L57" s="78"/>
      <c r="M57" s="87"/>
      <c r="N57" s="28">
        <v>0.85330432653427102</v>
      </c>
    </row>
    <row r="58" spans="1:14" x14ac:dyDescent="0.35">
      <c r="A58" s="88" t="s">
        <v>389</v>
      </c>
      <c r="B58" s="8" t="s">
        <v>29</v>
      </c>
      <c r="C58" s="9">
        <v>0.48940269749518311</v>
      </c>
      <c r="D58" s="8">
        <v>0.40077071290944122</v>
      </c>
      <c r="E58" s="9">
        <v>0.1078998073217726</v>
      </c>
      <c r="F58" s="8">
        <v>1.926782273603083E-3</v>
      </c>
      <c r="G58" s="9">
        <v>254</v>
      </c>
      <c r="H58" s="8">
        <v>208</v>
      </c>
      <c r="I58" s="9">
        <v>56</v>
      </c>
      <c r="J58" s="8">
        <v>1</v>
      </c>
      <c r="K58" s="34">
        <v>519</v>
      </c>
      <c r="L58" s="79" t="s">
        <v>67</v>
      </c>
      <c r="M58" s="82">
        <v>-0.89586699008941695</v>
      </c>
      <c r="N58" s="10">
        <v>0.90010404586792003</v>
      </c>
    </row>
    <row r="59" spans="1:14" x14ac:dyDescent="0.35">
      <c r="A59" s="89"/>
      <c r="B59" s="11" t="s">
        <v>25</v>
      </c>
      <c r="C59" s="12">
        <v>0.60818713450292394</v>
      </c>
      <c r="D59" s="11">
        <v>0.33918128654970758</v>
      </c>
      <c r="E59" s="12">
        <v>5.2631578947368418E-2</v>
      </c>
      <c r="F59" s="11">
        <v>0</v>
      </c>
      <c r="G59" s="12">
        <v>208</v>
      </c>
      <c r="H59" s="11">
        <v>116</v>
      </c>
      <c r="I59" s="12">
        <v>18</v>
      </c>
      <c r="J59" s="11">
        <v>0</v>
      </c>
      <c r="K59" s="35">
        <v>342</v>
      </c>
      <c r="L59" s="80"/>
      <c r="M59" s="83"/>
      <c r="N59" s="13">
        <v>0.75411558151245095</v>
      </c>
    </row>
    <row r="60" spans="1:14" x14ac:dyDescent="0.35">
      <c r="A60" s="89"/>
      <c r="B60" s="11" t="s">
        <v>63</v>
      </c>
      <c r="C60" s="12">
        <v>0.77542372881355937</v>
      </c>
      <c r="D60" s="11">
        <v>0.2076271186440678</v>
      </c>
      <c r="E60" s="12">
        <v>1.6949152542372881E-2</v>
      </c>
      <c r="F60" s="11">
        <v>0</v>
      </c>
      <c r="G60" s="12">
        <v>183</v>
      </c>
      <c r="H60" s="11">
        <v>49</v>
      </c>
      <c r="I60" s="12">
        <v>4</v>
      </c>
      <c r="J60" s="11">
        <v>0</v>
      </c>
      <c r="K60" s="35">
        <v>236</v>
      </c>
      <c r="L60" s="80"/>
      <c r="M60" s="83"/>
      <c r="N60" s="13">
        <v>0.672307670116425</v>
      </c>
    </row>
    <row r="61" spans="1:14" x14ac:dyDescent="0.35">
      <c r="A61" s="89"/>
      <c r="B61" s="11" t="s">
        <v>380</v>
      </c>
      <c r="C61" s="12">
        <v>0.74177215189873413</v>
      </c>
      <c r="D61" s="11">
        <v>0.2</v>
      </c>
      <c r="E61" s="12">
        <v>5.8227848101265821E-2</v>
      </c>
      <c r="F61" s="11">
        <v>0</v>
      </c>
      <c r="G61" s="12">
        <v>293</v>
      </c>
      <c r="H61" s="11">
        <v>79</v>
      </c>
      <c r="I61" s="12">
        <v>23</v>
      </c>
      <c r="J61" s="11">
        <v>0</v>
      </c>
      <c r="K61" s="35">
        <v>395</v>
      </c>
      <c r="L61" s="80"/>
      <c r="M61" s="83"/>
      <c r="N61" s="13">
        <v>0.90988910198211703</v>
      </c>
    </row>
    <row r="62" spans="1:14" x14ac:dyDescent="0.35">
      <c r="A62" s="89"/>
      <c r="B62" s="11" t="s">
        <v>11</v>
      </c>
      <c r="C62" s="12">
        <v>0.76719576719576721</v>
      </c>
      <c r="D62" s="11">
        <v>0.1710758377425044</v>
      </c>
      <c r="E62" s="12">
        <v>4.4091710758377423E-2</v>
      </c>
      <c r="F62" s="11">
        <v>1.7636684303350969E-2</v>
      </c>
      <c r="G62" s="12">
        <v>435</v>
      </c>
      <c r="H62" s="11">
        <v>97</v>
      </c>
      <c r="I62" s="12">
        <v>25</v>
      </c>
      <c r="J62" s="11">
        <v>10</v>
      </c>
      <c r="K62" s="35">
        <v>567</v>
      </c>
      <c r="L62" s="80"/>
      <c r="M62" s="83"/>
      <c r="N62" s="13">
        <v>0.76796180009841897</v>
      </c>
    </row>
    <row r="63" spans="1:14" x14ac:dyDescent="0.35">
      <c r="A63" s="89"/>
      <c r="B63" s="11" t="s">
        <v>21</v>
      </c>
      <c r="C63" s="12">
        <v>0.44572368421052633</v>
      </c>
      <c r="D63" s="11">
        <v>0.49835526315789469</v>
      </c>
      <c r="E63" s="12">
        <v>4.9342105263157902E-2</v>
      </c>
      <c r="F63" s="11">
        <v>6.5789473684210523E-3</v>
      </c>
      <c r="G63" s="12">
        <v>271</v>
      </c>
      <c r="H63" s="11">
        <v>303</v>
      </c>
      <c r="I63" s="12">
        <v>30</v>
      </c>
      <c r="J63" s="11">
        <v>4</v>
      </c>
      <c r="K63" s="35">
        <v>608</v>
      </c>
      <c r="L63" s="80"/>
      <c r="M63" s="83"/>
      <c r="N63" s="13">
        <v>0.89687585830688499</v>
      </c>
    </row>
    <row r="64" spans="1:14" ht="16" thickBot="1" x14ac:dyDescent="0.4">
      <c r="A64" s="90"/>
      <c r="B64" s="14" t="s">
        <v>381</v>
      </c>
      <c r="C64" s="15">
        <v>0.6607142857142857</v>
      </c>
      <c r="D64" s="14">
        <v>0.26785714285714279</v>
      </c>
      <c r="E64" s="15">
        <v>6.8452380952380959E-2</v>
      </c>
      <c r="F64" s="14">
        <v>2.976190476190476E-3</v>
      </c>
      <c r="G64" s="15">
        <v>222</v>
      </c>
      <c r="H64" s="14">
        <v>90</v>
      </c>
      <c r="I64" s="15">
        <v>23</v>
      </c>
      <c r="J64" s="14">
        <v>1</v>
      </c>
      <c r="K64" s="36">
        <v>336</v>
      </c>
      <c r="L64" s="81"/>
      <c r="M64" s="84"/>
      <c r="N64" s="16">
        <v>0.82024347782134999</v>
      </c>
    </row>
    <row r="65" spans="1:14" x14ac:dyDescent="0.35">
      <c r="A65" s="91" t="s">
        <v>390</v>
      </c>
      <c r="B65" s="17" t="s">
        <v>29</v>
      </c>
      <c r="C65" s="18">
        <v>0.64354527938342965</v>
      </c>
      <c r="D65" s="17">
        <v>0.33526011560693642</v>
      </c>
      <c r="E65" s="18">
        <v>1.926782273603083E-3</v>
      </c>
      <c r="F65" s="17">
        <v>1.926782273603083E-2</v>
      </c>
      <c r="G65" s="18">
        <v>334</v>
      </c>
      <c r="H65" s="17">
        <v>174</v>
      </c>
      <c r="I65" s="18">
        <v>1</v>
      </c>
      <c r="J65" s="17">
        <v>10</v>
      </c>
      <c r="K65" s="37">
        <v>519</v>
      </c>
      <c r="L65" s="76" t="s">
        <v>53</v>
      </c>
      <c r="M65" s="85">
        <v>-0.86084324121475198</v>
      </c>
      <c r="N65" s="19">
        <v>0.87395060062408403</v>
      </c>
    </row>
    <row r="66" spans="1:14" x14ac:dyDescent="0.35">
      <c r="A66" s="92"/>
      <c r="B66" s="20" t="s">
        <v>25</v>
      </c>
      <c r="C66" s="21">
        <v>0.6871345029239766</v>
      </c>
      <c r="D66" s="20">
        <v>0.2953216374269006</v>
      </c>
      <c r="E66" s="21">
        <v>2.9239766081871339E-3</v>
      </c>
      <c r="F66" s="20">
        <v>1.461988304093567E-2</v>
      </c>
      <c r="G66" s="21">
        <v>235</v>
      </c>
      <c r="H66" s="20">
        <v>101</v>
      </c>
      <c r="I66" s="21">
        <v>1</v>
      </c>
      <c r="J66" s="20">
        <v>5</v>
      </c>
      <c r="K66" s="38">
        <v>342</v>
      </c>
      <c r="L66" s="77"/>
      <c r="M66" s="86"/>
      <c r="N66" s="22">
        <v>0.66809654235839799</v>
      </c>
    </row>
    <row r="67" spans="1:14" x14ac:dyDescent="0.35">
      <c r="A67" s="92"/>
      <c r="B67" s="20" t="s">
        <v>63</v>
      </c>
      <c r="C67" s="21">
        <v>0.72033898305084743</v>
      </c>
      <c r="D67" s="20">
        <v>0.17372881355932199</v>
      </c>
      <c r="E67" s="21">
        <v>0</v>
      </c>
      <c r="F67" s="20">
        <v>0.1059322033898305</v>
      </c>
      <c r="G67" s="21">
        <v>170</v>
      </c>
      <c r="H67" s="20">
        <v>41</v>
      </c>
      <c r="I67" s="21">
        <v>0</v>
      </c>
      <c r="J67" s="20">
        <v>25</v>
      </c>
      <c r="K67" s="38">
        <v>236</v>
      </c>
      <c r="L67" s="77"/>
      <c r="M67" s="86"/>
      <c r="N67" s="22">
        <v>0.31662186980247498</v>
      </c>
    </row>
    <row r="68" spans="1:14" x14ac:dyDescent="0.35">
      <c r="A68" s="92"/>
      <c r="B68" s="20" t="s">
        <v>380</v>
      </c>
      <c r="C68" s="21">
        <v>0.810126582278481</v>
      </c>
      <c r="D68" s="20">
        <v>0.17974683544303799</v>
      </c>
      <c r="E68" s="21">
        <v>0</v>
      </c>
      <c r="F68" s="20">
        <v>1.0126582278481009E-2</v>
      </c>
      <c r="G68" s="21">
        <v>320</v>
      </c>
      <c r="H68" s="20">
        <v>71</v>
      </c>
      <c r="I68" s="21">
        <v>0</v>
      </c>
      <c r="J68" s="20">
        <v>4</v>
      </c>
      <c r="K68" s="38">
        <v>395</v>
      </c>
      <c r="L68" s="77"/>
      <c r="M68" s="86"/>
      <c r="N68" s="22">
        <v>0.68111091852188099</v>
      </c>
    </row>
    <row r="69" spans="1:14" x14ac:dyDescent="0.35">
      <c r="A69" s="92"/>
      <c r="B69" s="20" t="s">
        <v>11</v>
      </c>
      <c r="C69" s="21">
        <v>0.82363315696649031</v>
      </c>
      <c r="D69" s="20">
        <v>0.14991181657848321</v>
      </c>
      <c r="E69" s="21">
        <v>0</v>
      </c>
      <c r="F69" s="20">
        <v>2.645502645502645E-2</v>
      </c>
      <c r="G69" s="21">
        <v>467</v>
      </c>
      <c r="H69" s="20">
        <v>85</v>
      </c>
      <c r="I69" s="21">
        <v>0</v>
      </c>
      <c r="J69" s="20">
        <v>15</v>
      </c>
      <c r="K69" s="38">
        <v>567</v>
      </c>
      <c r="L69" s="77"/>
      <c r="M69" s="86"/>
      <c r="N69" s="22">
        <v>0.76789808273315396</v>
      </c>
    </row>
    <row r="70" spans="1:14" x14ac:dyDescent="0.35">
      <c r="A70" s="92"/>
      <c r="B70" s="20" t="s">
        <v>21</v>
      </c>
      <c r="C70" s="21">
        <v>0.46052631578947367</v>
      </c>
      <c r="D70" s="20">
        <v>0.51480263157894735</v>
      </c>
      <c r="E70" s="21">
        <v>4.9342105263157892E-3</v>
      </c>
      <c r="F70" s="20">
        <v>1.973684210526316E-2</v>
      </c>
      <c r="G70" s="21">
        <v>280</v>
      </c>
      <c r="H70" s="20">
        <v>313</v>
      </c>
      <c r="I70" s="21">
        <v>3</v>
      </c>
      <c r="J70" s="20">
        <v>12</v>
      </c>
      <c r="K70" s="38">
        <v>608</v>
      </c>
      <c r="L70" s="77"/>
      <c r="M70" s="86"/>
      <c r="N70" s="22">
        <v>0.88164603710174605</v>
      </c>
    </row>
    <row r="71" spans="1:14" ht="16" thickBot="1" x14ac:dyDescent="0.4">
      <c r="A71" s="93"/>
      <c r="B71" s="26" t="s">
        <v>381</v>
      </c>
      <c r="C71" s="27">
        <v>0.7678571428571429</v>
      </c>
      <c r="D71" s="26">
        <v>0.20833333333333329</v>
      </c>
      <c r="E71" s="27">
        <v>0</v>
      </c>
      <c r="F71" s="26">
        <v>2.3809523809523812E-2</v>
      </c>
      <c r="G71" s="27">
        <v>258</v>
      </c>
      <c r="H71" s="26">
        <v>70</v>
      </c>
      <c r="I71" s="27">
        <v>0</v>
      </c>
      <c r="J71" s="26">
        <v>8</v>
      </c>
      <c r="K71" s="39">
        <v>336</v>
      </c>
      <c r="L71" s="78"/>
      <c r="M71" s="87"/>
      <c r="N71" s="28">
        <v>0.775362908840179</v>
      </c>
    </row>
    <row r="72" spans="1:14" x14ac:dyDescent="0.35">
      <c r="A72" s="88" t="s">
        <v>391</v>
      </c>
      <c r="B72" s="8" t="s">
        <v>29</v>
      </c>
      <c r="C72" s="9">
        <v>0.25240847784200388</v>
      </c>
      <c r="D72" s="8">
        <v>0.2485549132947977</v>
      </c>
      <c r="E72" s="9">
        <v>0.3603082851637765</v>
      </c>
      <c r="F72" s="8">
        <v>0.13872832369942201</v>
      </c>
      <c r="G72" s="9">
        <v>131</v>
      </c>
      <c r="H72" s="8">
        <v>129</v>
      </c>
      <c r="I72" s="9">
        <v>187</v>
      </c>
      <c r="J72" s="8">
        <v>72</v>
      </c>
      <c r="K72" s="34">
        <v>519</v>
      </c>
      <c r="L72" s="79" t="s">
        <v>36</v>
      </c>
      <c r="M72" s="82">
        <v>0.41522589325904802</v>
      </c>
      <c r="N72" s="10">
        <v>-0.49796989560127303</v>
      </c>
    </row>
    <row r="73" spans="1:14" x14ac:dyDescent="0.35">
      <c r="A73" s="89"/>
      <c r="B73" s="11" t="s">
        <v>25</v>
      </c>
      <c r="C73" s="12">
        <v>0.40058479532163738</v>
      </c>
      <c r="D73" s="11">
        <v>0.1725146198830409</v>
      </c>
      <c r="E73" s="12">
        <v>0.38011695906432752</v>
      </c>
      <c r="F73" s="11">
        <v>4.6783625730994149E-2</v>
      </c>
      <c r="G73" s="12">
        <v>137</v>
      </c>
      <c r="H73" s="11">
        <v>59</v>
      </c>
      <c r="I73" s="12">
        <v>130</v>
      </c>
      <c r="J73" s="11">
        <v>16</v>
      </c>
      <c r="K73" s="35">
        <v>342</v>
      </c>
      <c r="L73" s="80"/>
      <c r="M73" s="83"/>
      <c r="N73" s="13">
        <v>-0.184038296341896</v>
      </c>
    </row>
    <row r="74" spans="1:14" x14ac:dyDescent="0.35">
      <c r="A74" s="89"/>
      <c r="B74" s="11" t="s">
        <v>63</v>
      </c>
      <c r="C74" s="12">
        <v>0.24576271186440679</v>
      </c>
      <c r="D74" s="11">
        <v>0.32203389830508472</v>
      </c>
      <c r="E74" s="12">
        <v>0.42372881355932202</v>
      </c>
      <c r="F74" s="11">
        <v>8.4745762711864406E-3</v>
      </c>
      <c r="G74" s="12">
        <v>58</v>
      </c>
      <c r="H74" s="11">
        <v>76</v>
      </c>
      <c r="I74" s="12">
        <v>100</v>
      </c>
      <c r="J74" s="11">
        <v>2</v>
      </c>
      <c r="K74" s="35">
        <v>236</v>
      </c>
      <c r="L74" s="80"/>
      <c r="M74" s="83"/>
      <c r="N74" s="13">
        <v>-0.75025689601898204</v>
      </c>
    </row>
    <row r="75" spans="1:14" x14ac:dyDescent="0.35">
      <c r="A75" s="89"/>
      <c r="B75" s="11" t="s">
        <v>380</v>
      </c>
      <c r="C75" s="12">
        <v>0.32911392405063289</v>
      </c>
      <c r="D75" s="11">
        <v>0.33670886075949369</v>
      </c>
      <c r="E75" s="12">
        <v>0.26835443037974682</v>
      </c>
      <c r="F75" s="11">
        <v>6.5822784810126586E-2</v>
      </c>
      <c r="G75" s="12">
        <v>130</v>
      </c>
      <c r="H75" s="11">
        <v>133</v>
      </c>
      <c r="I75" s="12">
        <v>106</v>
      </c>
      <c r="J75" s="11">
        <v>26</v>
      </c>
      <c r="K75" s="35">
        <v>395</v>
      </c>
      <c r="L75" s="80"/>
      <c r="M75" s="83"/>
      <c r="N75" s="13">
        <v>-0.49603325128555298</v>
      </c>
    </row>
    <row r="76" spans="1:14" x14ac:dyDescent="0.35">
      <c r="A76" s="89"/>
      <c r="B76" s="11" t="s">
        <v>11</v>
      </c>
      <c r="C76" s="12">
        <v>0.38271604938271597</v>
      </c>
      <c r="D76" s="11">
        <v>0.33509700176366841</v>
      </c>
      <c r="E76" s="12">
        <v>0.27160493827160492</v>
      </c>
      <c r="F76" s="11">
        <v>1.058201058201058E-2</v>
      </c>
      <c r="G76" s="12">
        <v>217</v>
      </c>
      <c r="H76" s="11">
        <v>190</v>
      </c>
      <c r="I76" s="12">
        <v>154</v>
      </c>
      <c r="J76" s="11">
        <v>6</v>
      </c>
      <c r="K76" s="35">
        <v>567</v>
      </c>
      <c r="L76" s="80"/>
      <c r="M76" s="83"/>
      <c r="N76" s="13">
        <v>-0.159081876277924</v>
      </c>
    </row>
    <row r="77" spans="1:14" x14ac:dyDescent="0.35">
      <c r="A77" s="89"/>
      <c r="B77" s="11" t="s">
        <v>21</v>
      </c>
      <c r="C77" s="12">
        <v>0.49835526315789469</v>
      </c>
      <c r="D77" s="11">
        <v>0.22532894736842099</v>
      </c>
      <c r="E77" s="12">
        <v>0.20888157894736839</v>
      </c>
      <c r="F77" s="11">
        <v>6.7434210526315791E-2</v>
      </c>
      <c r="G77" s="12">
        <v>303</v>
      </c>
      <c r="H77" s="11">
        <v>137</v>
      </c>
      <c r="I77" s="12">
        <v>127</v>
      </c>
      <c r="J77" s="11">
        <v>41</v>
      </c>
      <c r="K77" s="35">
        <v>608</v>
      </c>
      <c r="L77" s="80"/>
      <c r="M77" s="83"/>
      <c r="N77" s="13">
        <v>-0.44152075052261402</v>
      </c>
    </row>
    <row r="78" spans="1:14" ht="16" thickBot="1" x14ac:dyDescent="0.4">
      <c r="A78" s="90"/>
      <c r="B78" s="14" t="s">
        <v>381</v>
      </c>
      <c r="C78" s="15">
        <v>0.34523809523809518</v>
      </c>
      <c r="D78" s="14">
        <v>0.33035714285714279</v>
      </c>
      <c r="E78" s="15">
        <v>0.30654761904761912</v>
      </c>
      <c r="F78" s="14">
        <v>1.785714285714286E-2</v>
      </c>
      <c r="G78" s="15">
        <v>116</v>
      </c>
      <c r="H78" s="14">
        <v>111</v>
      </c>
      <c r="I78" s="15">
        <v>103</v>
      </c>
      <c r="J78" s="14">
        <v>6</v>
      </c>
      <c r="K78" s="36">
        <v>336</v>
      </c>
      <c r="L78" s="81"/>
      <c r="M78" s="84"/>
      <c r="N78" s="16">
        <v>-0.51309370994567904</v>
      </c>
    </row>
    <row r="79" spans="1:14" x14ac:dyDescent="0.35">
      <c r="A79" s="91" t="s">
        <v>392</v>
      </c>
      <c r="B79" s="17" t="s">
        <v>29</v>
      </c>
      <c r="C79" s="18">
        <v>0.23506743737957611</v>
      </c>
      <c r="D79" s="17">
        <v>0.38728323699421963</v>
      </c>
      <c r="E79" s="18">
        <v>0.2119460500963391</v>
      </c>
      <c r="F79" s="17">
        <v>0.16570327552986511</v>
      </c>
      <c r="G79" s="18">
        <v>122</v>
      </c>
      <c r="H79" s="17">
        <v>201</v>
      </c>
      <c r="I79" s="18">
        <v>110</v>
      </c>
      <c r="J79" s="17">
        <v>86</v>
      </c>
      <c r="K79" s="37">
        <v>519</v>
      </c>
      <c r="L79" s="76" t="s">
        <v>36</v>
      </c>
      <c r="M79" s="85">
        <v>0.44022405147552501</v>
      </c>
      <c r="N79" s="19">
        <v>-0.40761533379554699</v>
      </c>
    </row>
    <row r="80" spans="1:14" x14ac:dyDescent="0.35">
      <c r="A80" s="92"/>
      <c r="B80" s="20" t="s">
        <v>25</v>
      </c>
      <c r="C80" s="21">
        <v>0.3128654970760234</v>
      </c>
      <c r="D80" s="20">
        <v>0.38304093567251463</v>
      </c>
      <c r="E80" s="21">
        <v>0.25146198830409361</v>
      </c>
      <c r="F80" s="20">
        <v>5.2631578947368418E-2</v>
      </c>
      <c r="G80" s="21">
        <v>107</v>
      </c>
      <c r="H80" s="20">
        <v>131</v>
      </c>
      <c r="I80" s="21">
        <v>86</v>
      </c>
      <c r="J80" s="20">
        <v>18</v>
      </c>
      <c r="K80" s="38">
        <v>342</v>
      </c>
      <c r="L80" s="77"/>
      <c r="M80" s="86"/>
      <c r="N80" s="22">
        <v>-0.46771711111068698</v>
      </c>
    </row>
    <row r="81" spans="1:14" x14ac:dyDescent="0.35">
      <c r="A81" s="92"/>
      <c r="B81" s="20" t="s">
        <v>63</v>
      </c>
      <c r="C81" s="21">
        <v>0.19067796610169491</v>
      </c>
      <c r="D81" s="20">
        <v>0.49576271186440679</v>
      </c>
      <c r="E81" s="21">
        <v>0.27966101694915252</v>
      </c>
      <c r="F81" s="20">
        <v>3.3898305084745763E-2</v>
      </c>
      <c r="G81" s="21">
        <v>45</v>
      </c>
      <c r="H81" s="20">
        <v>117</v>
      </c>
      <c r="I81" s="21">
        <v>66</v>
      </c>
      <c r="J81" s="20">
        <v>8</v>
      </c>
      <c r="K81" s="38">
        <v>236</v>
      </c>
      <c r="L81" s="77"/>
      <c r="M81" s="86"/>
      <c r="N81" s="22">
        <v>-0.86181402206420898</v>
      </c>
    </row>
    <row r="82" spans="1:14" x14ac:dyDescent="0.35">
      <c r="A82" s="92"/>
      <c r="B82" s="20" t="s">
        <v>380</v>
      </c>
      <c r="C82" s="21">
        <v>0.31139240506329108</v>
      </c>
      <c r="D82" s="20">
        <v>0.37468354430379752</v>
      </c>
      <c r="E82" s="21">
        <v>0.25316455696202528</v>
      </c>
      <c r="F82" s="20">
        <v>6.0759493670886067E-2</v>
      </c>
      <c r="G82" s="21">
        <v>123</v>
      </c>
      <c r="H82" s="20">
        <v>148</v>
      </c>
      <c r="I82" s="21">
        <v>100</v>
      </c>
      <c r="J82" s="20">
        <v>24</v>
      </c>
      <c r="K82" s="38">
        <v>395</v>
      </c>
      <c r="L82" s="77"/>
      <c r="M82" s="86"/>
      <c r="N82" s="22">
        <v>-0.56019604206085205</v>
      </c>
    </row>
    <row r="83" spans="1:14" x14ac:dyDescent="0.35">
      <c r="A83" s="92"/>
      <c r="B83" s="20" t="s">
        <v>11</v>
      </c>
      <c r="C83" s="21">
        <v>0.31040564373897711</v>
      </c>
      <c r="D83" s="20">
        <v>0.37918871252204578</v>
      </c>
      <c r="E83" s="21">
        <v>0.2821869488536155</v>
      </c>
      <c r="F83" s="20">
        <v>2.821869488536155E-2</v>
      </c>
      <c r="G83" s="21">
        <v>176</v>
      </c>
      <c r="H83" s="20">
        <v>215</v>
      </c>
      <c r="I83" s="21">
        <v>160</v>
      </c>
      <c r="J83" s="20">
        <v>16</v>
      </c>
      <c r="K83" s="38">
        <v>567</v>
      </c>
      <c r="L83" s="77"/>
      <c r="M83" s="86"/>
      <c r="N83" s="22">
        <v>-0.21957167983055101</v>
      </c>
    </row>
    <row r="84" spans="1:14" x14ac:dyDescent="0.35">
      <c r="A84" s="92"/>
      <c r="B84" s="20" t="s">
        <v>21</v>
      </c>
      <c r="C84" s="21">
        <v>0.42598684210526322</v>
      </c>
      <c r="D84" s="20">
        <v>0.18914473684210531</v>
      </c>
      <c r="E84" s="21">
        <v>0.23026315789473681</v>
      </c>
      <c r="F84" s="20">
        <v>0.15460526315789469</v>
      </c>
      <c r="G84" s="21">
        <v>259</v>
      </c>
      <c r="H84" s="20">
        <v>115</v>
      </c>
      <c r="I84" s="21">
        <v>140</v>
      </c>
      <c r="J84" s="20">
        <v>94</v>
      </c>
      <c r="K84" s="38">
        <v>608</v>
      </c>
      <c r="L84" s="77"/>
      <c r="M84" s="86"/>
      <c r="N84" s="22">
        <v>-0.37463754415512102</v>
      </c>
    </row>
    <row r="85" spans="1:14" ht="16" thickBot="1" x14ac:dyDescent="0.4">
      <c r="A85" s="93"/>
      <c r="B85" s="26" t="s">
        <v>381</v>
      </c>
      <c r="C85" s="27">
        <v>0.24702380952380951</v>
      </c>
      <c r="D85" s="26">
        <v>0.32738095238095238</v>
      </c>
      <c r="E85" s="27">
        <v>0.25</v>
      </c>
      <c r="F85" s="26">
        <v>0.17559523809523811</v>
      </c>
      <c r="G85" s="27">
        <v>83</v>
      </c>
      <c r="H85" s="26">
        <v>110</v>
      </c>
      <c r="I85" s="27">
        <v>84</v>
      </c>
      <c r="J85" s="26">
        <v>59</v>
      </c>
      <c r="K85" s="39">
        <v>336</v>
      </c>
      <c r="L85" s="78"/>
      <c r="M85" s="87"/>
      <c r="N85" s="28">
        <v>-0.52828830480575595</v>
      </c>
    </row>
    <row r="86" spans="1:14" x14ac:dyDescent="0.35">
      <c r="A86" s="88" t="s">
        <v>393</v>
      </c>
      <c r="B86" s="8" t="s">
        <v>29</v>
      </c>
      <c r="C86" s="9">
        <v>0.52601156069364163</v>
      </c>
      <c r="D86" s="8">
        <v>0.41425818882466281</v>
      </c>
      <c r="E86" s="9">
        <v>9.6339113680154135E-3</v>
      </c>
      <c r="F86" s="8">
        <v>5.0096339113680152E-2</v>
      </c>
      <c r="G86" s="9">
        <v>273</v>
      </c>
      <c r="H86" s="8">
        <v>215</v>
      </c>
      <c r="I86" s="9">
        <v>5</v>
      </c>
      <c r="J86" s="8">
        <v>26</v>
      </c>
      <c r="K86" s="34">
        <v>519</v>
      </c>
      <c r="L86" s="79" t="s">
        <v>19</v>
      </c>
      <c r="M86" s="82">
        <v>-0.56976944208145097</v>
      </c>
      <c r="N86" s="10">
        <v>0.383893042802811</v>
      </c>
    </row>
    <row r="87" spans="1:14" x14ac:dyDescent="0.35">
      <c r="A87" s="89"/>
      <c r="B87" s="11" t="s">
        <v>25</v>
      </c>
      <c r="C87" s="12">
        <v>0.51169590643274854</v>
      </c>
      <c r="D87" s="11">
        <v>0.45029239766081869</v>
      </c>
      <c r="E87" s="12">
        <v>2.9239766081871339E-3</v>
      </c>
      <c r="F87" s="11">
        <v>3.5087719298245612E-2</v>
      </c>
      <c r="G87" s="12">
        <v>175</v>
      </c>
      <c r="H87" s="11">
        <v>154</v>
      </c>
      <c r="I87" s="12">
        <v>1</v>
      </c>
      <c r="J87" s="11">
        <v>12</v>
      </c>
      <c r="K87" s="35">
        <v>342</v>
      </c>
      <c r="L87" s="80"/>
      <c r="M87" s="83"/>
      <c r="N87" s="13">
        <v>0.46235516667366</v>
      </c>
    </row>
    <row r="88" spans="1:14" x14ac:dyDescent="0.35">
      <c r="A88" s="89"/>
      <c r="B88" s="11" t="s">
        <v>63</v>
      </c>
      <c r="C88" s="12">
        <v>0.47033898305084748</v>
      </c>
      <c r="D88" s="11">
        <v>0.33050847457627119</v>
      </c>
      <c r="E88" s="12">
        <v>0.1864406779661017</v>
      </c>
      <c r="F88" s="11">
        <v>1.271186440677966E-2</v>
      </c>
      <c r="G88" s="12">
        <v>111</v>
      </c>
      <c r="H88" s="11">
        <v>78</v>
      </c>
      <c r="I88" s="12">
        <v>44</v>
      </c>
      <c r="J88" s="11">
        <v>3</v>
      </c>
      <c r="K88" s="35">
        <v>236</v>
      </c>
      <c r="L88" s="80"/>
      <c r="M88" s="83"/>
      <c r="N88" s="13">
        <v>-1.45048517733812E-2</v>
      </c>
    </row>
    <row r="89" spans="1:14" x14ac:dyDescent="0.35">
      <c r="A89" s="89"/>
      <c r="B89" s="11" t="s">
        <v>380</v>
      </c>
      <c r="C89" s="12">
        <v>0.70632911392405062</v>
      </c>
      <c r="D89" s="11">
        <v>0.23544303797468349</v>
      </c>
      <c r="E89" s="12">
        <v>2.5316455696202532E-3</v>
      </c>
      <c r="F89" s="11">
        <v>5.5696202531645568E-2</v>
      </c>
      <c r="G89" s="12">
        <v>279</v>
      </c>
      <c r="H89" s="11">
        <v>93</v>
      </c>
      <c r="I89" s="12">
        <v>1</v>
      </c>
      <c r="J89" s="11">
        <v>22</v>
      </c>
      <c r="K89" s="35">
        <v>395</v>
      </c>
      <c r="L89" s="80"/>
      <c r="M89" s="83"/>
      <c r="N89" s="13">
        <v>0.430762469768524</v>
      </c>
    </row>
    <row r="90" spans="1:14" x14ac:dyDescent="0.35">
      <c r="A90" s="89"/>
      <c r="B90" s="11" t="s">
        <v>11</v>
      </c>
      <c r="C90" s="12">
        <v>0.79541446208112876</v>
      </c>
      <c r="D90" s="11">
        <v>0.17460317460317459</v>
      </c>
      <c r="E90" s="12">
        <v>0</v>
      </c>
      <c r="F90" s="11">
        <v>2.9982363315696651E-2</v>
      </c>
      <c r="G90" s="12">
        <v>451</v>
      </c>
      <c r="H90" s="11">
        <v>99</v>
      </c>
      <c r="I90" s="12">
        <v>0</v>
      </c>
      <c r="J90" s="11">
        <v>17</v>
      </c>
      <c r="K90" s="35">
        <v>567</v>
      </c>
      <c r="L90" s="80"/>
      <c r="M90" s="83"/>
      <c r="N90" s="13">
        <v>0.63964086771011397</v>
      </c>
    </row>
    <row r="91" spans="1:14" x14ac:dyDescent="0.35">
      <c r="A91" s="89"/>
      <c r="B91" s="11" t="s">
        <v>21</v>
      </c>
      <c r="C91" s="12">
        <v>0.35526315789473678</v>
      </c>
      <c r="D91" s="11">
        <v>0.59210526315789469</v>
      </c>
      <c r="E91" s="12">
        <v>2.4671052631578951E-2</v>
      </c>
      <c r="F91" s="11">
        <v>2.796052631578947E-2</v>
      </c>
      <c r="G91" s="12">
        <v>216</v>
      </c>
      <c r="H91" s="11">
        <v>360</v>
      </c>
      <c r="I91" s="12">
        <v>15</v>
      </c>
      <c r="J91" s="11">
        <v>17</v>
      </c>
      <c r="K91" s="35">
        <v>608</v>
      </c>
      <c r="L91" s="80"/>
      <c r="M91" s="83"/>
      <c r="N91" s="13">
        <v>0.57596147060394298</v>
      </c>
    </row>
    <row r="92" spans="1:14" ht="16" thickBot="1" x14ac:dyDescent="0.4">
      <c r="A92" s="90"/>
      <c r="B92" s="14" t="s">
        <v>381</v>
      </c>
      <c r="C92" s="15">
        <v>0.68452380952380953</v>
      </c>
      <c r="D92" s="14">
        <v>0.25</v>
      </c>
      <c r="E92" s="15">
        <v>2.976190476190476E-3</v>
      </c>
      <c r="F92" s="14">
        <v>6.25E-2</v>
      </c>
      <c r="G92" s="15">
        <v>230</v>
      </c>
      <c r="H92" s="14">
        <v>84</v>
      </c>
      <c r="I92" s="15">
        <v>1</v>
      </c>
      <c r="J92" s="14">
        <v>21</v>
      </c>
      <c r="K92" s="36">
        <v>336</v>
      </c>
      <c r="L92" s="81"/>
      <c r="M92" s="84"/>
      <c r="N92" s="16">
        <v>0.64428639411926303</v>
      </c>
    </row>
    <row r="93" spans="1:14" x14ac:dyDescent="0.35">
      <c r="A93" s="91" t="s">
        <v>394</v>
      </c>
      <c r="B93" s="17" t="s">
        <v>29</v>
      </c>
      <c r="C93" s="18">
        <v>0.52986512524084783</v>
      </c>
      <c r="D93" s="17">
        <v>0.39113680154142583</v>
      </c>
      <c r="E93" s="18">
        <v>2.312138728323699E-2</v>
      </c>
      <c r="F93" s="17">
        <v>5.5876685934489398E-2</v>
      </c>
      <c r="G93" s="18">
        <v>275</v>
      </c>
      <c r="H93" s="17">
        <v>203</v>
      </c>
      <c r="I93" s="18">
        <v>12</v>
      </c>
      <c r="J93" s="17">
        <v>29</v>
      </c>
      <c r="K93" s="37">
        <v>519</v>
      </c>
      <c r="L93" s="76" t="s">
        <v>10</v>
      </c>
      <c r="M93" s="85">
        <v>-0.88440263271331798</v>
      </c>
      <c r="N93" s="19">
        <v>0.72222793102264404</v>
      </c>
    </row>
    <row r="94" spans="1:14" x14ac:dyDescent="0.35">
      <c r="A94" s="92"/>
      <c r="B94" s="20" t="s">
        <v>25</v>
      </c>
      <c r="C94" s="21">
        <v>0.46783625730994149</v>
      </c>
      <c r="D94" s="20">
        <v>0.24853801169590639</v>
      </c>
      <c r="E94" s="21">
        <v>4.6783625730994149E-2</v>
      </c>
      <c r="F94" s="20">
        <v>0.23684210526315791</v>
      </c>
      <c r="G94" s="21">
        <v>160</v>
      </c>
      <c r="H94" s="20">
        <v>85</v>
      </c>
      <c r="I94" s="21">
        <v>16</v>
      </c>
      <c r="J94" s="20">
        <v>81</v>
      </c>
      <c r="K94" s="38">
        <v>342</v>
      </c>
      <c r="L94" s="77"/>
      <c r="M94" s="86"/>
      <c r="N94" s="22">
        <v>0.76444756984710704</v>
      </c>
    </row>
    <row r="95" spans="1:14" x14ac:dyDescent="0.35">
      <c r="A95" s="92"/>
      <c r="B95" s="20" t="s">
        <v>63</v>
      </c>
      <c r="C95" s="21">
        <v>0.6652542372881356</v>
      </c>
      <c r="D95" s="20">
        <v>0.1864406779661017</v>
      </c>
      <c r="E95" s="21">
        <v>9.3220338983050849E-2</v>
      </c>
      <c r="F95" s="20">
        <v>5.5084745762711863E-2</v>
      </c>
      <c r="G95" s="21">
        <v>157</v>
      </c>
      <c r="H95" s="20">
        <v>44</v>
      </c>
      <c r="I95" s="21">
        <v>22</v>
      </c>
      <c r="J95" s="20">
        <v>13</v>
      </c>
      <c r="K95" s="38">
        <v>236</v>
      </c>
      <c r="L95" s="77"/>
      <c r="M95" s="86"/>
      <c r="N95" s="22">
        <v>0.42522677779197698</v>
      </c>
    </row>
    <row r="96" spans="1:14" x14ac:dyDescent="0.35">
      <c r="A96" s="92"/>
      <c r="B96" s="20" t="s">
        <v>380</v>
      </c>
      <c r="C96" s="21">
        <v>0.66835443037974684</v>
      </c>
      <c r="D96" s="20">
        <v>0.16962025316455701</v>
      </c>
      <c r="E96" s="21">
        <v>9.1139240506329114E-2</v>
      </c>
      <c r="F96" s="20">
        <v>7.0886075949367092E-2</v>
      </c>
      <c r="G96" s="21">
        <v>264</v>
      </c>
      <c r="H96" s="20">
        <v>67</v>
      </c>
      <c r="I96" s="21">
        <v>36</v>
      </c>
      <c r="J96" s="20">
        <v>28</v>
      </c>
      <c r="K96" s="38">
        <v>395</v>
      </c>
      <c r="L96" s="77"/>
      <c r="M96" s="86"/>
      <c r="N96" s="22">
        <v>0.80482602119445801</v>
      </c>
    </row>
    <row r="97" spans="1:14" x14ac:dyDescent="0.35">
      <c r="A97" s="92"/>
      <c r="B97" s="20" t="s">
        <v>11</v>
      </c>
      <c r="C97" s="21">
        <v>0.70899470899470896</v>
      </c>
      <c r="D97" s="20">
        <v>0.16402116402116401</v>
      </c>
      <c r="E97" s="21">
        <v>4.2328042328042333E-2</v>
      </c>
      <c r="F97" s="20">
        <v>8.4656084656084651E-2</v>
      </c>
      <c r="G97" s="21">
        <v>402</v>
      </c>
      <c r="H97" s="20">
        <v>93</v>
      </c>
      <c r="I97" s="21">
        <v>24</v>
      </c>
      <c r="J97" s="20">
        <v>48</v>
      </c>
      <c r="K97" s="38">
        <v>567</v>
      </c>
      <c r="L97" s="77"/>
      <c r="M97" s="86"/>
      <c r="N97" s="22">
        <v>0.77363008260726895</v>
      </c>
    </row>
    <row r="98" spans="1:14" x14ac:dyDescent="0.35">
      <c r="A98" s="92"/>
      <c r="B98" s="20" t="s">
        <v>21</v>
      </c>
      <c r="C98" s="21">
        <v>0.41118421052631582</v>
      </c>
      <c r="D98" s="20">
        <v>0.48355263157894729</v>
      </c>
      <c r="E98" s="21">
        <v>6.7434210526315791E-2</v>
      </c>
      <c r="F98" s="20">
        <v>3.7828947368421052E-2</v>
      </c>
      <c r="G98" s="21">
        <v>250</v>
      </c>
      <c r="H98" s="20">
        <v>294</v>
      </c>
      <c r="I98" s="21">
        <v>41</v>
      </c>
      <c r="J98" s="20">
        <v>23</v>
      </c>
      <c r="K98" s="38">
        <v>608</v>
      </c>
      <c r="L98" s="77"/>
      <c r="M98" s="86"/>
      <c r="N98" s="22">
        <v>0.82721406221389804</v>
      </c>
    </row>
    <row r="99" spans="1:14" ht="16" thickBot="1" x14ac:dyDescent="0.4">
      <c r="A99" s="93"/>
      <c r="B99" s="26" t="s">
        <v>381</v>
      </c>
      <c r="C99" s="27">
        <v>0.70238095238095233</v>
      </c>
      <c r="D99" s="26">
        <v>0.22619047619047619</v>
      </c>
      <c r="E99" s="27">
        <v>5.0595238095238103E-2</v>
      </c>
      <c r="F99" s="26">
        <v>2.0833333333333329E-2</v>
      </c>
      <c r="G99" s="27">
        <v>236</v>
      </c>
      <c r="H99" s="26">
        <v>76</v>
      </c>
      <c r="I99" s="27">
        <v>17</v>
      </c>
      <c r="J99" s="26">
        <v>7</v>
      </c>
      <c r="K99" s="39">
        <v>336</v>
      </c>
      <c r="L99" s="78"/>
      <c r="M99" s="87"/>
      <c r="N99" s="28">
        <v>0.83403569459915206</v>
      </c>
    </row>
    <row r="100" spans="1:14" x14ac:dyDescent="0.35">
      <c r="A100" s="88" t="s">
        <v>395</v>
      </c>
      <c r="B100" s="8" t="s">
        <v>29</v>
      </c>
      <c r="C100" s="9">
        <v>0.51830443159922923</v>
      </c>
      <c r="D100" s="8">
        <v>0.42003853564547211</v>
      </c>
      <c r="E100" s="9">
        <v>1.348747591522158E-2</v>
      </c>
      <c r="F100" s="8">
        <v>4.8169556840077073E-2</v>
      </c>
      <c r="G100" s="9">
        <v>269</v>
      </c>
      <c r="H100" s="8">
        <v>218</v>
      </c>
      <c r="I100" s="9">
        <v>7</v>
      </c>
      <c r="J100" s="8">
        <v>25</v>
      </c>
      <c r="K100" s="34">
        <v>519</v>
      </c>
      <c r="L100" s="79" t="s">
        <v>67</v>
      </c>
      <c r="M100" s="82">
        <v>-0.845347940921783</v>
      </c>
      <c r="N100" s="10">
        <v>0.62602144479751598</v>
      </c>
    </row>
    <row r="101" spans="1:14" x14ac:dyDescent="0.35">
      <c r="A101" s="89"/>
      <c r="B101" s="11" t="s">
        <v>25</v>
      </c>
      <c r="C101" s="12">
        <v>0.68421052631578949</v>
      </c>
      <c r="D101" s="11">
        <v>0.26315789473684209</v>
      </c>
      <c r="E101" s="12">
        <v>2.6315789473684209E-2</v>
      </c>
      <c r="F101" s="11">
        <v>2.6315789473684209E-2</v>
      </c>
      <c r="G101" s="12">
        <v>234</v>
      </c>
      <c r="H101" s="11">
        <v>90</v>
      </c>
      <c r="I101" s="12">
        <v>9</v>
      </c>
      <c r="J101" s="11">
        <v>9</v>
      </c>
      <c r="K101" s="35">
        <v>342</v>
      </c>
      <c r="L101" s="80"/>
      <c r="M101" s="83"/>
      <c r="N101" s="13">
        <v>0.85897159576416005</v>
      </c>
    </row>
    <row r="102" spans="1:14" x14ac:dyDescent="0.35">
      <c r="A102" s="89"/>
      <c r="B102" s="11" t="s">
        <v>63</v>
      </c>
      <c r="C102" s="12">
        <v>0.72881355932203384</v>
      </c>
      <c r="D102" s="11">
        <v>0.19491525423728809</v>
      </c>
      <c r="E102" s="12">
        <v>6.3559322033898302E-2</v>
      </c>
      <c r="F102" s="11">
        <v>1.271186440677966E-2</v>
      </c>
      <c r="G102" s="12">
        <v>172</v>
      </c>
      <c r="H102" s="11">
        <v>46</v>
      </c>
      <c r="I102" s="12">
        <v>15</v>
      </c>
      <c r="J102" s="11">
        <v>3</v>
      </c>
      <c r="K102" s="35">
        <v>236</v>
      </c>
      <c r="L102" s="80"/>
      <c r="M102" s="83"/>
      <c r="N102" s="13">
        <v>0.577864110469818</v>
      </c>
    </row>
    <row r="103" spans="1:14" x14ac:dyDescent="0.35">
      <c r="A103" s="89"/>
      <c r="B103" s="11" t="s">
        <v>380</v>
      </c>
      <c r="C103" s="12">
        <v>0.76708860759493669</v>
      </c>
      <c r="D103" s="11">
        <v>0.1822784810126582</v>
      </c>
      <c r="E103" s="12">
        <v>2.7848101265822781E-2</v>
      </c>
      <c r="F103" s="11">
        <v>2.2784810126582278E-2</v>
      </c>
      <c r="G103" s="12">
        <v>303</v>
      </c>
      <c r="H103" s="11">
        <v>72</v>
      </c>
      <c r="I103" s="12">
        <v>11</v>
      </c>
      <c r="J103" s="11">
        <v>9</v>
      </c>
      <c r="K103" s="35">
        <v>395</v>
      </c>
      <c r="L103" s="80"/>
      <c r="M103" s="83"/>
      <c r="N103" s="13">
        <v>0.67238521575927701</v>
      </c>
    </row>
    <row r="104" spans="1:14" x14ac:dyDescent="0.35">
      <c r="A104" s="89"/>
      <c r="B104" s="11" t="s">
        <v>11</v>
      </c>
      <c r="C104" s="12">
        <v>0.81128747795414458</v>
      </c>
      <c r="D104" s="11">
        <v>0.13580246913580249</v>
      </c>
      <c r="E104" s="12">
        <v>3.7037037037037028E-2</v>
      </c>
      <c r="F104" s="11">
        <v>1.5873015873015869E-2</v>
      </c>
      <c r="G104" s="12">
        <v>460</v>
      </c>
      <c r="H104" s="11">
        <v>77</v>
      </c>
      <c r="I104" s="12">
        <v>21</v>
      </c>
      <c r="J104" s="11">
        <v>9</v>
      </c>
      <c r="K104" s="35">
        <v>567</v>
      </c>
      <c r="L104" s="80"/>
      <c r="M104" s="83"/>
      <c r="N104" s="13">
        <v>0.79164236783981301</v>
      </c>
    </row>
    <row r="105" spans="1:14" x14ac:dyDescent="0.35">
      <c r="A105" s="89"/>
      <c r="B105" s="11" t="s">
        <v>21</v>
      </c>
      <c r="C105" s="12">
        <v>0.35197368421052633</v>
      </c>
      <c r="D105" s="11">
        <v>0.51480263157894735</v>
      </c>
      <c r="E105" s="12">
        <v>0.1036184210526316</v>
      </c>
      <c r="F105" s="11">
        <v>2.9605263157894739E-2</v>
      </c>
      <c r="G105" s="12">
        <v>214</v>
      </c>
      <c r="H105" s="11">
        <v>313</v>
      </c>
      <c r="I105" s="12">
        <v>63</v>
      </c>
      <c r="J105" s="11">
        <v>18</v>
      </c>
      <c r="K105" s="35">
        <v>608</v>
      </c>
      <c r="L105" s="80"/>
      <c r="M105" s="83"/>
      <c r="N105" s="13">
        <v>0.81228512525558505</v>
      </c>
    </row>
    <row r="106" spans="1:14" ht="16" thickBot="1" x14ac:dyDescent="0.4">
      <c r="A106" s="90"/>
      <c r="B106" s="14" t="s">
        <v>381</v>
      </c>
      <c r="C106" s="15">
        <v>0.7053571428571429</v>
      </c>
      <c r="D106" s="14">
        <v>0.2232142857142857</v>
      </c>
      <c r="E106" s="15">
        <v>4.1666666666666657E-2</v>
      </c>
      <c r="F106" s="14">
        <v>2.976190476190476E-2</v>
      </c>
      <c r="G106" s="15">
        <v>237</v>
      </c>
      <c r="H106" s="14">
        <v>75</v>
      </c>
      <c r="I106" s="15">
        <v>14</v>
      </c>
      <c r="J106" s="14">
        <v>10</v>
      </c>
      <c r="K106" s="36">
        <v>336</v>
      </c>
      <c r="L106" s="81"/>
      <c r="M106" s="84"/>
      <c r="N106" s="16">
        <v>0.96838420629501298</v>
      </c>
    </row>
    <row r="107" spans="1:14" x14ac:dyDescent="0.35">
      <c r="A107" s="91" t="s">
        <v>396</v>
      </c>
      <c r="B107" s="17" t="s">
        <v>29</v>
      </c>
      <c r="C107" s="18">
        <v>0.41040462427745672</v>
      </c>
      <c r="D107" s="17">
        <v>0.2138728323699422</v>
      </c>
      <c r="E107" s="18">
        <v>0.36801541425818879</v>
      </c>
      <c r="F107" s="17">
        <v>7.7071290944123313E-3</v>
      </c>
      <c r="G107" s="18">
        <v>213</v>
      </c>
      <c r="H107" s="17">
        <v>111</v>
      </c>
      <c r="I107" s="18">
        <v>191</v>
      </c>
      <c r="J107" s="17">
        <v>4</v>
      </c>
      <c r="K107" s="37">
        <v>519</v>
      </c>
      <c r="L107" s="76" t="s">
        <v>59</v>
      </c>
      <c r="M107" s="85">
        <v>-0.56231844425201405</v>
      </c>
      <c r="N107" s="19">
        <v>0.52474564313888505</v>
      </c>
    </row>
    <row r="108" spans="1:14" x14ac:dyDescent="0.35">
      <c r="A108" s="92"/>
      <c r="B108" s="20" t="s">
        <v>25</v>
      </c>
      <c r="C108" s="21">
        <v>0.41812865497076018</v>
      </c>
      <c r="D108" s="20">
        <v>0.24561403508771931</v>
      </c>
      <c r="E108" s="21">
        <v>0.30701754385964908</v>
      </c>
      <c r="F108" s="20">
        <v>2.923976608187134E-2</v>
      </c>
      <c r="G108" s="21">
        <v>143</v>
      </c>
      <c r="H108" s="20">
        <v>84</v>
      </c>
      <c r="I108" s="21">
        <v>105</v>
      </c>
      <c r="J108" s="20">
        <v>10</v>
      </c>
      <c r="K108" s="38">
        <v>342</v>
      </c>
      <c r="L108" s="77"/>
      <c r="M108" s="86"/>
      <c r="N108" s="22">
        <v>0.57528591156005904</v>
      </c>
    </row>
    <row r="109" spans="1:14" x14ac:dyDescent="0.35">
      <c r="A109" s="92"/>
      <c r="B109" s="20" t="s">
        <v>63</v>
      </c>
      <c r="C109" s="21">
        <v>0.53389830508474578</v>
      </c>
      <c r="D109" s="20">
        <v>0.19491525423728809</v>
      </c>
      <c r="E109" s="21">
        <v>0.26271186440677968</v>
      </c>
      <c r="F109" s="20">
        <v>8.4745762711864406E-3</v>
      </c>
      <c r="G109" s="21">
        <v>126</v>
      </c>
      <c r="H109" s="20">
        <v>46</v>
      </c>
      <c r="I109" s="21">
        <v>62</v>
      </c>
      <c r="J109" s="20">
        <v>2</v>
      </c>
      <c r="K109" s="38">
        <v>236</v>
      </c>
      <c r="L109" s="77"/>
      <c r="M109" s="86"/>
      <c r="N109" s="22">
        <v>0.13327901065349601</v>
      </c>
    </row>
    <row r="110" spans="1:14" x14ac:dyDescent="0.35">
      <c r="A110" s="92"/>
      <c r="B110" s="20" t="s">
        <v>380</v>
      </c>
      <c r="C110" s="21">
        <v>0.55949367088607593</v>
      </c>
      <c r="D110" s="20">
        <v>0.1822784810126582</v>
      </c>
      <c r="E110" s="21">
        <v>0.22784810126582281</v>
      </c>
      <c r="F110" s="20">
        <v>3.037974683544304E-2</v>
      </c>
      <c r="G110" s="21">
        <v>221</v>
      </c>
      <c r="H110" s="20">
        <v>72</v>
      </c>
      <c r="I110" s="21">
        <v>90</v>
      </c>
      <c r="J110" s="20">
        <v>12</v>
      </c>
      <c r="K110" s="38">
        <v>395</v>
      </c>
      <c r="L110" s="77"/>
      <c r="M110" s="86"/>
      <c r="N110" s="22">
        <v>0.52608257532119795</v>
      </c>
    </row>
    <row r="111" spans="1:14" x14ac:dyDescent="0.35">
      <c r="A111" s="92"/>
      <c r="B111" s="20" t="s">
        <v>11</v>
      </c>
      <c r="C111" s="21">
        <v>0.62257495590828926</v>
      </c>
      <c r="D111" s="20">
        <v>0.17636684303350969</v>
      </c>
      <c r="E111" s="21">
        <v>0.16578483245149911</v>
      </c>
      <c r="F111" s="20">
        <v>3.5273368606701938E-2</v>
      </c>
      <c r="G111" s="21">
        <v>353</v>
      </c>
      <c r="H111" s="20">
        <v>100</v>
      </c>
      <c r="I111" s="21">
        <v>94</v>
      </c>
      <c r="J111" s="20">
        <v>20</v>
      </c>
      <c r="K111" s="38">
        <v>567</v>
      </c>
      <c r="L111" s="77"/>
      <c r="M111" s="86"/>
      <c r="N111" s="22">
        <v>0.46557512879371599</v>
      </c>
    </row>
    <row r="112" spans="1:14" x14ac:dyDescent="0.35">
      <c r="A112" s="92"/>
      <c r="B112" s="20" t="s">
        <v>21</v>
      </c>
      <c r="C112" s="21">
        <v>0.32730263157894729</v>
      </c>
      <c r="D112" s="20">
        <v>0.41776315789473678</v>
      </c>
      <c r="E112" s="21">
        <v>0.16611842105263161</v>
      </c>
      <c r="F112" s="20">
        <v>8.8815789473684209E-2</v>
      </c>
      <c r="G112" s="21">
        <v>199</v>
      </c>
      <c r="H112" s="20">
        <v>254</v>
      </c>
      <c r="I112" s="21">
        <v>101</v>
      </c>
      <c r="J112" s="20">
        <v>54</v>
      </c>
      <c r="K112" s="38">
        <v>608</v>
      </c>
      <c r="L112" s="77"/>
      <c r="M112" s="86"/>
      <c r="N112" s="22">
        <v>0.59297454357147195</v>
      </c>
    </row>
    <row r="113" spans="1:14" ht="16" thickBot="1" x14ac:dyDescent="0.4">
      <c r="A113" s="93"/>
      <c r="B113" s="26" t="s">
        <v>381</v>
      </c>
      <c r="C113" s="27">
        <v>0.40476190476190482</v>
      </c>
      <c r="D113" s="26">
        <v>0.23511904761904759</v>
      </c>
      <c r="E113" s="27">
        <v>0.35714285714285721</v>
      </c>
      <c r="F113" s="26">
        <v>2.976190476190476E-3</v>
      </c>
      <c r="G113" s="27">
        <v>136</v>
      </c>
      <c r="H113" s="26">
        <v>79</v>
      </c>
      <c r="I113" s="27">
        <v>120</v>
      </c>
      <c r="J113" s="26">
        <v>1</v>
      </c>
      <c r="K113" s="39">
        <v>336</v>
      </c>
      <c r="L113" s="78"/>
      <c r="M113" s="87"/>
      <c r="N113" s="28">
        <v>0.33075815439224199</v>
      </c>
    </row>
    <row r="114" spans="1:14" x14ac:dyDescent="0.35">
      <c r="A114" s="88" t="s">
        <v>397</v>
      </c>
      <c r="B114" s="8" t="s">
        <v>29</v>
      </c>
      <c r="C114" s="9">
        <v>0.45279383429672448</v>
      </c>
      <c r="D114" s="8">
        <v>0.44894026974951828</v>
      </c>
      <c r="E114" s="9">
        <v>5.7803468208092477E-2</v>
      </c>
      <c r="F114" s="8">
        <v>4.046242774566474E-2</v>
      </c>
      <c r="G114" s="9">
        <v>235</v>
      </c>
      <c r="H114" s="8">
        <v>233</v>
      </c>
      <c r="I114" s="9">
        <v>30</v>
      </c>
      <c r="J114" s="8">
        <v>21</v>
      </c>
      <c r="K114" s="34">
        <v>519</v>
      </c>
      <c r="L114" s="79" t="s">
        <v>19</v>
      </c>
      <c r="M114" s="82">
        <v>-0.38847398757934598</v>
      </c>
      <c r="N114" s="10">
        <v>0.360053330659866</v>
      </c>
    </row>
    <row r="115" spans="1:14" x14ac:dyDescent="0.35">
      <c r="A115" s="89"/>
      <c r="B115" s="11" t="s">
        <v>25</v>
      </c>
      <c r="C115" s="12">
        <v>0.35964912280701761</v>
      </c>
      <c r="D115" s="11">
        <v>0.4853801169590643</v>
      </c>
      <c r="E115" s="12">
        <v>0.1169590643274854</v>
      </c>
      <c r="F115" s="11">
        <v>3.8011695906432753E-2</v>
      </c>
      <c r="G115" s="12">
        <v>123</v>
      </c>
      <c r="H115" s="11">
        <v>166</v>
      </c>
      <c r="I115" s="12">
        <v>40</v>
      </c>
      <c r="J115" s="11">
        <v>13</v>
      </c>
      <c r="K115" s="35">
        <v>342</v>
      </c>
      <c r="L115" s="80"/>
      <c r="M115" s="83"/>
      <c r="N115" s="13">
        <v>0.23879630863666501</v>
      </c>
    </row>
    <row r="116" spans="1:14" x14ac:dyDescent="0.35">
      <c r="A116" s="89"/>
      <c r="B116" s="11" t="s">
        <v>63</v>
      </c>
      <c r="C116" s="12">
        <v>0.31779661016949151</v>
      </c>
      <c r="D116" s="11">
        <v>0.40254237288135591</v>
      </c>
      <c r="E116" s="12">
        <v>0.25847457627118642</v>
      </c>
      <c r="F116" s="11">
        <v>2.1186440677966101E-2</v>
      </c>
      <c r="G116" s="12">
        <v>75</v>
      </c>
      <c r="H116" s="11">
        <v>95</v>
      </c>
      <c r="I116" s="12">
        <v>61</v>
      </c>
      <c r="J116" s="11">
        <v>5</v>
      </c>
      <c r="K116" s="35">
        <v>236</v>
      </c>
      <c r="L116" s="80"/>
      <c r="M116" s="83"/>
      <c r="N116" s="13">
        <v>-0.145265698432922</v>
      </c>
    </row>
    <row r="117" spans="1:14" x14ac:dyDescent="0.35">
      <c r="A117" s="89"/>
      <c r="B117" s="11" t="s">
        <v>380</v>
      </c>
      <c r="C117" s="12">
        <v>0.61012658227848104</v>
      </c>
      <c r="D117" s="11">
        <v>0.26835443037974682</v>
      </c>
      <c r="E117" s="12">
        <v>8.3544303797468356E-2</v>
      </c>
      <c r="F117" s="11">
        <v>3.7974683544303799E-2</v>
      </c>
      <c r="G117" s="12">
        <v>241</v>
      </c>
      <c r="H117" s="11">
        <v>106</v>
      </c>
      <c r="I117" s="12">
        <v>33</v>
      </c>
      <c r="J117" s="11">
        <v>15</v>
      </c>
      <c r="K117" s="35">
        <v>395</v>
      </c>
      <c r="L117" s="80"/>
      <c r="M117" s="83"/>
      <c r="N117" s="13">
        <v>0.34246578812599199</v>
      </c>
    </row>
    <row r="118" spans="1:14" x14ac:dyDescent="0.35">
      <c r="A118" s="89"/>
      <c r="B118" s="11" t="s">
        <v>11</v>
      </c>
      <c r="C118" s="12">
        <v>0.54850088183421519</v>
      </c>
      <c r="D118" s="11">
        <v>0.32627865961199293</v>
      </c>
      <c r="E118" s="12">
        <v>8.4656084656084651E-2</v>
      </c>
      <c r="F118" s="11">
        <v>4.0564373897707229E-2</v>
      </c>
      <c r="G118" s="12">
        <v>311</v>
      </c>
      <c r="H118" s="11">
        <v>185</v>
      </c>
      <c r="I118" s="12">
        <v>48</v>
      </c>
      <c r="J118" s="11">
        <v>23</v>
      </c>
      <c r="K118" s="35">
        <v>567</v>
      </c>
      <c r="L118" s="80"/>
      <c r="M118" s="83"/>
      <c r="N118" s="13">
        <v>0.36479306221008301</v>
      </c>
    </row>
    <row r="119" spans="1:14" x14ac:dyDescent="0.35">
      <c r="A119" s="89"/>
      <c r="B119" s="11" t="s">
        <v>21</v>
      </c>
      <c r="C119" s="12">
        <v>0.32730263157894729</v>
      </c>
      <c r="D119" s="11">
        <v>0.56907894736842102</v>
      </c>
      <c r="E119" s="12">
        <v>8.2236842105263164E-2</v>
      </c>
      <c r="F119" s="11">
        <v>2.1381578947368422E-2</v>
      </c>
      <c r="G119" s="12">
        <v>199</v>
      </c>
      <c r="H119" s="11">
        <v>346</v>
      </c>
      <c r="I119" s="12">
        <v>50</v>
      </c>
      <c r="J119" s="11">
        <v>13</v>
      </c>
      <c r="K119" s="35">
        <v>608</v>
      </c>
      <c r="L119" s="80"/>
      <c r="M119" s="83"/>
      <c r="N119" s="13">
        <v>0.51586747169494596</v>
      </c>
    </row>
    <row r="120" spans="1:14" ht="16" thickBot="1" x14ac:dyDescent="0.4">
      <c r="A120" s="90"/>
      <c r="B120" s="14" t="s">
        <v>381</v>
      </c>
      <c r="C120" s="15">
        <v>0.39880952380952378</v>
      </c>
      <c r="D120" s="14">
        <v>0.36607142857142849</v>
      </c>
      <c r="E120" s="15">
        <v>0.20535714285714279</v>
      </c>
      <c r="F120" s="14">
        <v>2.976190476190476E-2</v>
      </c>
      <c r="G120" s="15">
        <v>134</v>
      </c>
      <c r="H120" s="14">
        <v>123</v>
      </c>
      <c r="I120" s="15">
        <v>69</v>
      </c>
      <c r="J120" s="14">
        <v>10</v>
      </c>
      <c r="K120" s="36">
        <v>336</v>
      </c>
      <c r="L120" s="81"/>
      <c r="M120" s="84"/>
      <c r="N120" s="16">
        <v>0.26675605773925798</v>
      </c>
    </row>
    <row r="121" spans="1:14" x14ac:dyDescent="0.35">
      <c r="A121" s="91" t="s">
        <v>398</v>
      </c>
      <c r="B121" s="17" t="s">
        <v>29</v>
      </c>
      <c r="C121" s="18">
        <v>0.47784200385356462</v>
      </c>
      <c r="D121" s="17">
        <v>0.39884393063583817</v>
      </c>
      <c r="E121" s="18">
        <v>3.8535645472061647E-2</v>
      </c>
      <c r="F121" s="17">
        <v>8.477842003853564E-2</v>
      </c>
      <c r="G121" s="18">
        <v>248</v>
      </c>
      <c r="H121" s="17">
        <v>207</v>
      </c>
      <c r="I121" s="18">
        <v>20</v>
      </c>
      <c r="J121" s="17">
        <v>44</v>
      </c>
      <c r="K121" s="37">
        <v>519</v>
      </c>
      <c r="L121" s="76" t="s">
        <v>44</v>
      </c>
      <c r="M121" s="85">
        <v>-0.59977799654007002</v>
      </c>
      <c r="N121" s="19">
        <v>0.47385656833648698</v>
      </c>
    </row>
    <row r="122" spans="1:14" x14ac:dyDescent="0.35">
      <c r="A122" s="92"/>
      <c r="B122" s="20" t="s">
        <v>25</v>
      </c>
      <c r="C122" s="21">
        <v>0.52339181286549707</v>
      </c>
      <c r="D122" s="20">
        <v>0.3742690058479532</v>
      </c>
      <c r="E122" s="21">
        <v>9.6491228070175433E-2</v>
      </c>
      <c r="F122" s="20">
        <v>5.8479532163742687E-3</v>
      </c>
      <c r="G122" s="21">
        <v>179</v>
      </c>
      <c r="H122" s="20">
        <v>128</v>
      </c>
      <c r="I122" s="21">
        <v>33</v>
      </c>
      <c r="J122" s="20">
        <v>2</v>
      </c>
      <c r="K122" s="38">
        <v>342</v>
      </c>
      <c r="L122" s="77"/>
      <c r="M122" s="86"/>
      <c r="N122" s="22">
        <v>0.56488746404647805</v>
      </c>
    </row>
    <row r="123" spans="1:14" x14ac:dyDescent="0.35">
      <c r="A123" s="92"/>
      <c r="B123" s="20" t="s">
        <v>63</v>
      </c>
      <c r="C123" s="21">
        <v>0.28389830508474578</v>
      </c>
      <c r="D123" s="20">
        <v>0.45338983050847459</v>
      </c>
      <c r="E123" s="21">
        <v>0.16101694915254239</v>
      </c>
      <c r="F123" s="20">
        <v>0.10169491525423729</v>
      </c>
      <c r="G123" s="21">
        <v>67</v>
      </c>
      <c r="H123" s="20">
        <v>107</v>
      </c>
      <c r="I123" s="21">
        <v>38</v>
      </c>
      <c r="J123" s="20">
        <v>24</v>
      </c>
      <c r="K123" s="38">
        <v>236</v>
      </c>
      <c r="L123" s="77"/>
      <c r="M123" s="86"/>
      <c r="N123" s="22">
        <v>-0.15386851131915999</v>
      </c>
    </row>
    <row r="124" spans="1:14" x14ac:dyDescent="0.35">
      <c r="A124" s="92"/>
      <c r="B124" s="20" t="s">
        <v>380</v>
      </c>
      <c r="C124" s="21">
        <v>0.69620253164556967</v>
      </c>
      <c r="D124" s="20">
        <v>0.23291139240506331</v>
      </c>
      <c r="E124" s="21">
        <v>6.8354430379746839E-2</v>
      </c>
      <c r="F124" s="20">
        <v>2.5316455696202532E-3</v>
      </c>
      <c r="G124" s="21">
        <v>275</v>
      </c>
      <c r="H124" s="20">
        <v>92</v>
      </c>
      <c r="I124" s="21">
        <v>27</v>
      </c>
      <c r="J124" s="20">
        <v>1</v>
      </c>
      <c r="K124" s="38">
        <v>395</v>
      </c>
      <c r="L124" s="77"/>
      <c r="M124" s="86"/>
      <c r="N124" s="22">
        <v>0.50798398256301902</v>
      </c>
    </row>
    <row r="125" spans="1:14" x14ac:dyDescent="0.35">
      <c r="A125" s="92"/>
      <c r="B125" s="20" t="s">
        <v>11</v>
      </c>
      <c r="C125" s="21">
        <v>0.71075837742504411</v>
      </c>
      <c r="D125" s="20">
        <v>0.1710758377425044</v>
      </c>
      <c r="E125" s="21">
        <v>0.1146384479717813</v>
      </c>
      <c r="F125" s="20">
        <v>3.5273368606701938E-3</v>
      </c>
      <c r="G125" s="21">
        <v>403</v>
      </c>
      <c r="H125" s="20">
        <v>97</v>
      </c>
      <c r="I125" s="21">
        <v>65</v>
      </c>
      <c r="J125" s="20">
        <v>2</v>
      </c>
      <c r="K125" s="38">
        <v>567</v>
      </c>
      <c r="L125" s="77"/>
      <c r="M125" s="86"/>
      <c r="N125" s="22">
        <v>0.67286568880081199</v>
      </c>
    </row>
    <row r="126" spans="1:14" x14ac:dyDescent="0.35">
      <c r="A126" s="92"/>
      <c r="B126" s="20" t="s">
        <v>21</v>
      </c>
      <c r="C126" s="21">
        <v>0.33059210526315791</v>
      </c>
      <c r="D126" s="20">
        <v>0.59539473684210531</v>
      </c>
      <c r="E126" s="21">
        <v>5.7565789473684209E-2</v>
      </c>
      <c r="F126" s="20">
        <v>1.6447368421052631E-2</v>
      </c>
      <c r="G126" s="21">
        <v>201</v>
      </c>
      <c r="H126" s="20">
        <v>362</v>
      </c>
      <c r="I126" s="21">
        <v>35</v>
      </c>
      <c r="J126" s="20">
        <v>10</v>
      </c>
      <c r="K126" s="38">
        <v>608</v>
      </c>
      <c r="L126" s="77"/>
      <c r="M126" s="86"/>
      <c r="N126" s="22">
        <v>0.65702664852142301</v>
      </c>
    </row>
    <row r="127" spans="1:14" ht="16" thickBot="1" x14ac:dyDescent="0.4">
      <c r="A127" s="93"/>
      <c r="B127" s="26" t="s">
        <v>381</v>
      </c>
      <c r="C127" s="27">
        <v>0.46726190476190482</v>
      </c>
      <c r="D127" s="26">
        <v>0.35416666666666669</v>
      </c>
      <c r="E127" s="27">
        <v>0.17261904761904759</v>
      </c>
      <c r="F127" s="26">
        <v>5.9523809523809521E-3</v>
      </c>
      <c r="G127" s="27">
        <v>157</v>
      </c>
      <c r="H127" s="26">
        <v>119</v>
      </c>
      <c r="I127" s="27">
        <v>58</v>
      </c>
      <c r="J127" s="26">
        <v>2</v>
      </c>
      <c r="K127" s="39">
        <v>336</v>
      </c>
      <c r="L127" s="78"/>
      <c r="M127" s="87"/>
      <c r="N127" s="28">
        <v>0.42616632580757102</v>
      </c>
    </row>
    <row r="128" spans="1:14" x14ac:dyDescent="0.35">
      <c r="A128" s="88" t="s">
        <v>399</v>
      </c>
      <c r="B128" s="8" t="s">
        <v>29</v>
      </c>
      <c r="C128" s="9">
        <v>0.52601156069364163</v>
      </c>
      <c r="D128" s="8">
        <v>0.38921001926782273</v>
      </c>
      <c r="E128" s="9">
        <v>3.0828516377649329E-2</v>
      </c>
      <c r="F128" s="8">
        <v>5.3949903660886318E-2</v>
      </c>
      <c r="G128" s="9">
        <v>273</v>
      </c>
      <c r="H128" s="8">
        <v>202</v>
      </c>
      <c r="I128" s="9">
        <v>16</v>
      </c>
      <c r="J128" s="8">
        <v>28</v>
      </c>
      <c r="K128" s="34">
        <v>519</v>
      </c>
      <c r="L128" s="79" t="s">
        <v>67</v>
      </c>
      <c r="M128" s="82">
        <v>-0.87827980518341098</v>
      </c>
      <c r="N128" s="10">
        <v>0.65988427400589</v>
      </c>
    </row>
    <row r="129" spans="1:14" x14ac:dyDescent="0.35">
      <c r="A129" s="89"/>
      <c r="B129" s="11" t="s">
        <v>25</v>
      </c>
      <c r="C129" s="12">
        <v>0.6900584795321637</v>
      </c>
      <c r="D129" s="11">
        <v>0.2017543859649123</v>
      </c>
      <c r="E129" s="12">
        <v>8.4795321637426896E-2</v>
      </c>
      <c r="F129" s="11">
        <v>2.3391812865497071E-2</v>
      </c>
      <c r="G129" s="12">
        <v>236</v>
      </c>
      <c r="H129" s="11">
        <v>69</v>
      </c>
      <c r="I129" s="12">
        <v>29</v>
      </c>
      <c r="J129" s="11">
        <v>8</v>
      </c>
      <c r="K129" s="35">
        <v>342</v>
      </c>
      <c r="L129" s="80"/>
      <c r="M129" s="83"/>
      <c r="N129" s="13">
        <v>0.91151720285415605</v>
      </c>
    </row>
    <row r="130" spans="1:14" x14ac:dyDescent="0.35">
      <c r="A130" s="89"/>
      <c r="B130" s="11" t="s">
        <v>63</v>
      </c>
      <c r="C130" s="12">
        <v>0.76694915254237284</v>
      </c>
      <c r="D130" s="11">
        <v>0.1228813559322034</v>
      </c>
      <c r="E130" s="12">
        <v>0.1101694915254237</v>
      </c>
      <c r="F130" s="11">
        <v>0</v>
      </c>
      <c r="G130" s="12">
        <v>181</v>
      </c>
      <c r="H130" s="11">
        <v>29</v>
      </c>
      <c r="I130" s="12">
        <v>26</v>
      </c>
      <c r="J130" s="11">
        <v>0</v>
      </c>
      <c r="K130" s="35">
        <v>236</v>
      </c>
      <c r="L130" s="80"/>
      <c r="M130" s="83"/>
      <c r="N130" s="13">
        <v>0.79473936557769798</v>
      </c>
    </row>
    <row r="131" spans="1:14" x14ac:dyDescent="0.35">
      <c r="A131" s="89"/>
      <c r="B131" s="11" t="s">
        <v>380</v>
      </c>
      <c r="C131" s="12">
        <v>0.77215189873417722</v>
      </c>
      <c r="D131" s="11">
        <v>0.13670886075949371</v>
      </c>
      <c r="E131" s="12">
        <v>7.3417721518987344E-2</v>
      </c>
      <c r="F131" s="11">
        <v>1.7721518987341769E-2</v>
      </c>
      <c r="G131" s="12">
        <v>305</v>
      </c>
      <c r="H131" s="11">
        <v>54</v>
      </c>
      <c r="I131" s="12">
        <v>29</v>
      </c>
      <c r="J131" s="11">
        <v>7</v>
      </c>
      <c r="K131" s="35">
        <v>395</v>
      </c>
      <c r="L131" s="80"/>
      <c r="M131" s="83"/>
      <c r="N131" s="13">
        <v>0.70068466663360596</v>
      </c>
    </row>
    <row r="132" spans="1:14" x14ac:dyDescent="0.35">
      <c r="A132" s="89"/>
      <c r="B132" s="11" t="s">
        <v>11</v>
      </c>
      <c r="C132" s="12">
        <v>0.83774250440917108</v>
      </c>
      <c r="D132" s="11">
        <v>0.1234567901234568</v>
      </c>
      <c r="E132" s="12">
        <v>3.1746031746031737E-2</v>
      </c>
      <c r="F132" s="11">
        <v>7.0546737213403876E-3</v>
      </c>
      <c r="G132" s="12">
        <v>475</v>
      </c>
      <c r="H132" s="11">
        <v>70</v>
      </c>
      <c r="I132" s="12">
        <v>18</v>
      </c>
      <c r="J132" s="11">
        <v>4</v>
      </c>
      <c r="K132" s="35">
        <v>567</v>
      </c>
      <c r="L132" s="80"/>
      <c r="M132" s="83"/>
      <c r="N132" s="13">
        <v>0.90312147140502896</v>
      </c>
    </row>
    <row r="133" spans="1:14" x14ac:dyDescent="0.35">
      <c r="A133" s="89"/>
      <c r="B133" s="11" t="s">
        <v>21</v>
      </c>
      <c r="C133" s="12">
        <v>0.40296052631578949</v>
      </c>
      <c r="D133" s="11">
        <v>0.45723684210526322</v>
      </c>
      <c r="E133" s="12">
        <v>0.1101973684210526</v>
      </c>
      <c r="F133" s="11">
        <v>2.9605263157894739E-2</v>
      </c>
      <c r="G133" s="12">
        <v>245</v>
      </c>
      <c r="H133" s="11">
        <v>278</v>
      </c>
      <c r="I133" s="12">
        <v>67</v>
      </c>
      <c r="J133" s="11">
        <v>18</v>
      </c>
      <c r="K133" s="35">
        <v>608</v>
      </c>
      <c r="L133" s="80"/>
      <c r="M133" s="83"/>
      <c r="N133" s="13">
        <v>0.860432088375092</v>
      </c>
    </row>
    <row r="134" spans="1:14" ht="16" thickBot="1" x14ac:dyDescent="0.4">
      <c r="A134" s="90"/>
      <c r="B134" s="14" t="s">
        <v>381</v>
      </c>
      <c r="C134" s="15">
        <v>0.72023809523809523</v>
      </c>
      <c r="D134" s="14">
        <v>0.1785714285714286</v>
      </c>
      <c r="E134" s="15">
        <v>7.7380952380952384E-2</v>
      </c>
      <c r="F134" s="14">
        <v>2.3809523809523812E-2</v>
      </c>
      <c r="G134" s="15">
        <v>242</v>
      </c>
      <c r="H134" s="14">
        <v>60</v>
      </c>
      <c r="I134" s="15">
        <v>26</v>
      </c>
      <c r="J134" s="14">
        <v>8</v>
      </c>
      <c r="K134" s="36">
        <v>336</v>
      </c>
      <c r="L134" s="81"/>
      <c r="M134" s="84"/>
      <c r="N134" s="16">
        <v>0.95383590459823597</v>
      </c>
    </row>
    <row r="135" spans="1:14" x14ac:dyDescent="0.35">
      <c r="A135" s="91" t="s">
        <v>400</v>
      </c>
      <c r="B135" s="17" t="s">
        <v>29</v>
      </c>
      <c r="C135" s="18">
        <v>0.26974951830443161</v>
      </c>
      <c r="D135" s="17">
        <v>0.50096339113680155</v>
      </c>
      <c r="E135" s="18">
        <v>0.18497109826589589</v>
      </c>
      <c r="F135" s="17">
        <v>4.4315992292870907E-2</v>
      </c>
      <c r="G135" s="18">
        <v>140</v>
      </c>
      <c r="H135" s="17">
        <v>260</v>
      </c>
      <c r="I135" s="18">
        <v>96</v>
      </c>
      <c r="J135" s="17">
        <v>23</v>
      </c>
      <c r="K135" s="37">
        <v>519</v>
      </c>
      <c r="L135" s="76" t="s">
        <v>36</v>
      </c>
      <c r="M135" s="85">
        <v>0.81057310104370095</v>
      </c>
      <c r="N135" s="19">
        <v>-0.94999134540557895</v>
      </c>
    </row>
    <row r="136" spans="1:14" x14ac:dyDescent="0.35">
      <c r="A136" s="92"/>
      <c r="B136" s="20" t="s">
        <v>25</v>
      </c>
      <c r="C136" s="21">
        <v>0.23976608187134499</v>
      </c>
      <c r="D136" s="20">
        <v>0.52046783625730997</v>
      </c>
      <c r="E136" s="21">
        <v>0.17836257309941519</v>
      </c>
      <c r="F136" s="20">
        <v>6.1403508771929821E-2</v>
      </c>
      <c r="G136" s="21">
        <v>82</v>
      </c>
      <c r="H136" s="20">
        <v>178</v>
      </c>
      <c r="I136" s="21">
        <v>61</v>
      </c>
      <c r="J136" s="20">
        <v>21</v>
      </c>
      <c r="K136" s="38">
        <v>342</v>
      </c>
      <c r="L136" s="77"/>
      <c r="M136" s="86"/>
      <c r="N136" s="22">
        <v>-0.80851221084594704</v>
      </c>
    </row>
    <row r="137" spans="1:14" x14ac:dyDescent="0.35">
      <c r="A137" s="92"/>
      <c r="B137" s="20" t="s">
        <v>63</v>
      </c>
      <c r="C137" s="21">
        <v>0.14830508474576271</v>
      </c>
      <c r="D137" s="20">
        <v>0.56355932203389836</v>
      </c>
      <c r="E137" s="21">
        <v>0.17372881355932199</v>
      </c>
      <c r="F137" s="20">
        <v>0.11440677966101689</v>
      </c>
      <c r="G137" s="21">
        <v>35</v>
      </c>
      <c r="H137" s="20">
        <v>133</v>
      </c>
      <c r="I137" s="21">
        <v>41</v>
      </c>
      <c r="J137" s="20">
        <v>27</v>
      </c>
      <c r="K137" s="38">
        <v>236</v>
      </c>
      <c r="L137" s="77"/>
      <c r="M137" s="86"/>
      <c r="N137" s="22">
        <v>-0.94325184822082497</v>
      </c>
    </row>
    <row r="138" spans="1:14" x14ac:dyDescent="0.35">
      <c r="A138" s="92"/>
      <c r="B138" s="20" t="s">
        <v>380</v>
      </c>
      <c r="C138" s="21">
        <v>0.26075949367088608</v>
      </c>
      <c r="D138" s="20">
        <v>0.51898734177215189</v>
      </c>
      <c r="E138" s="21">
        <v>0.189873417721519</v>
      </c>
      <c r="F138" s="20">
        <v>3.037974683544304E-2</v>
      </c>
      <c r="G138" s="21">
        <v>103</v>
      </c>
      <c r="H138" s="20">
        <v>205</v>
      </c>
      <c r="I138" s="21">
        <v>75</v>
      </c>
      <c r="J138" s="20">
        <v>12</v>
      </c>
      <c r="K138" s="38">
        <v>395</v>
      </c>
      <c r="L138" s="77"/>
      <c r="M138" s="86"/>
      <c r="N138" s="22">
        <v>-0.89831101894378695</v>
      </c>
    </row>
    <row r="139" spans="1:14" x14ac:dyDescent="0.35">
      <c r="A139" s="92"/>
      <c r="B139" s="20" t="s">
        <v>11</v>
      </c>
      <c r="C139" s="21">
        <v>0.29629629629629628</v>
      </c>
      <c r="D139" s="20">
        <v>0.5149911816578483</v>
      </c>
      <c r="E139" s="21">
        <v>0.1728395061728395</v>
      </c>
      <c r="F139" s="20">
        <v>1.5873015873015869E-2</v>
      </c>
      <c r="G139" s="21">
        <v>168</v>
      </c>
      <c r="H139" s="20">
        <v>292</v>
      </c>
      <c r="I139" s="21">
        <v>98</v>
      </c>
      <c r="J139" s="20">
        <v>9</v>
      </c>
      <c r="K139" s="38">
        <v>567</v>
      </c>
      <c r="L139" s="77"/>
      <c r="M139" s="86"/>
      <c r="N139" s="22">
        <v>-0.32358092069625899</v>
      </c>
    </row>
    <row r="140" spans="1:14" x14ac:dyDescent="0.35">
      <c r="A140" s="92"/>
      <c r="B140" s="20" t="s">
        <v>21</v>
      </c>
      <c r="C140" s="21">
        <v>0.52138157894736847</v>
      </c>
      <c r="D140" s="20">
        <v>0.34046052631578949</v>
      </c>
      <c r="E140" s="21">
        <v>0.125</v>
      </c>
      <c r="F140" s="20">
        <v>1.3157894736842099E-2</v>
      </c>
      <c r="G140" s="21">
        <v>317</v>
      </c>
      <c r="H140" s="20">
        <v>207</v>
      </c>
      <c r="I140" s="21">
        <v>76</v>
      </c>
      <c r="J140" s="20">
        <v>8</v>
      </c>
      <c r="K140" s="38">
        <v>608</v>
      </c>
      <c r="L140" s="77"/>
      <c r="M140" s="86"/>
      <c r="N140" s="22">
        <v>-0.86383038759231601</v>
      </c>
    </row>
    <row r="141" spans="1:14" ht="16" thickBot="1" x14ac:dyDescent="0.4">
      <c r="A141" s="93"/>
      <c r="B141" s="26" t="s">
        <v>381</v>
      </c>
      <c r="C141" s="27">
        <v>0.2767857142857143</v>
      </c>
      <c r="D141" s="26">
        <v>0.49702380952380948</v>
      </c>
      <c r="E141" s="27">
        <v>0.20238095238095241</v>
      </c>
      <c r="F141" s="26">
        <v>2.3809523809523812E-2</v>
      </c>
      <c r="G141" s="27">
        <v>93</v>
      </c>
      <c r="H141" s="26">
        <v>167</v>
      </c>
      <c r="I141" s="27">
        <v>68</v>
      </c>
      <c r="J141" s="26">
        <v>8</v>
      </c>
      <c r="K141" s="39">
        <v>336</v>
      </c>
      <c r="L141" s="78"/>
      <c r="M141" s="87"/>
      <c r="N141" s="28">
        <v>-0.80133813619613603</v>
      </c>
    </row>
    <row r="142" spans="1:14" x14ac:dyDescent="0.35">
      <c r="A142" s="88" t="s">
        <v>401</v>
      </c>
      <c r="B142" s="8" t="s">
        <v>29</v>
      </c>
      <c r="C142" s="9">
        <v>0.26782273603082851</v>
      </c>
      <c r="D142" s="8">
        <v>0.44315992292870898</v>
      </c>
      <c r="E142" s="9">
        <v>0.22350674373795759</v>
      </c>
      <c r="F142" s="8">
        <v>6.5510597302504817E-2</v>
      </c>
      <c r="G142" s="9">
        <v>139</v>
      </c>
      <c r="H142" s="8">
        <v>230</v>
      </c>
      <c r="I142" s="9">
        <v>116</v>
      </c>
      <c r="J142" s="8">
        <v>34</v>
      </c>
      <c r="K142" s="34">
        <v>519</v>
      </c>
      <c r="L142" s="79" t="s">
        <v>36</v>
      </c>
      <c r="M142" s="82">
        <v>0.85335594415664695</v>
      </c>
      <c r="N142" s="10">
        <v>-0.94793683290481601</v>
      </c>
    </row>
    <row r="143" spans="1:14" x14ac:dyDescent="0.35">
      <c r="A143" s="89"/>
      <c r="B143" s="11" t="s">
        <v>25</v>
      </c>
      <c r="C143" s="12">
        <v>0.28654970760233922</v>
      </c>
      <c r="D143" s="11">
        <v>0.56140350877192979</v>
      </c>
      <c r="E143" s="12">
        <v>0.14035087719298239</v>
      </c>
      <c r="F143" s="11">
        <v>1.1695906432748541E-2</v>
      </c>
      <c r="G143" s="12">
        <v>98</v>
      </c>
      <c r="H143" s="11">
        <v>192</v>
      </c>
      <c r="I143" s="12">
        <v>48</v>
      </c>
      <c r="J143" s="11">
        <v>4</v>
      </c>
      <c r="K143" s="35">
        <v>342</v>
      </c>
      <c r="L143" s="80"/>
      <c r="M143" s="83"/>
      <c r="N143" s="13">
        <v>-0.82502776384353604</v>
      </c>
    </row>
    <row r="144" spans="1:14" x14ac:dyDescent="0.35">
      <c r="A144" s="89"/>
      <c r="B144" s="11" t="s">
        <v>63</v>
      </c>
      <c r="C144" s="12">
        <v>0.2288135593220339</v>
      </c>
      <c r="D144" s="11">
        <v>0.58898305084745761</v>
      </c>
      <c r="E144" s="12">
        <v>0.16949152542372881</v>
      </c>
      <c r="F144" s="11">
        <v>1.271186440677966E-2</v>
      </c>
      <c r="G144" s="12">
        <v>54</v>
      </c>
      <c r="H144" s="11">
        <v>139</v>
      </c>
      <c r="I144" s="12">
        <v>40</v>
      </c>
      <c r="J144" s="11">
        <v>3</v>
      </c>
      <c r="K144" s="35">
        <v>236</v>
      </c>
      <c r="L144" s="80"/>
      <c r="M144" s="83"/>
      <c r="N144" s="13">
        <v>-0.88141250610351596</v>
      </c>
    </row>
    <row r="145" spans="1:14" x14ac:dyDescent="0.35">
      <c r="A145" s="89"/>
      <c r="B145" s="11" t="s">
        <v>380</v>
      </c>
      <c r="C145" s="12">
        <v>0.23544303797468349</v>
      </c>
      <c r="D145" s="11">
        <v>0.50886075949367093</v>
      </c>
      <c r="E145" s="12">
        <v>0.18481012658227849</v>
      </c>
      <c r="F145" s="11">
        <v>7.0886075949367092E-2</v>
      </c>
      <c r="G145" s="12">
        <v>93</v>
      </c>
      <c r="H145" s="11">
        <v>201</v>
      </c>
      <c r="I145" s="12">
        <v>73</v>
      </c>
      <c r="J145" s="11">
        <v>28</v>
      </c>
      <c r="K145" s="35">
        <v>395</v>
      </c>
      <c r="L145" s="80"/>
      <c r="M145" s="83"/>
      <c r="N145" s="13">
        <v>-0.89602231979370095</v>
      </c>
    </row>
    <row r="146" spans="1:14" x14ac:dyDescent="0.35">
      <c r="A146" s="89"/>
      <c r="B146" s="11" t="s">
        <v>11</v>
      </c>
      <c r="C146" s="12">
        <v>0.2821869488536155</v>
      </c>
      <c r="D146" s="11">
        <v>0.53086419753086422</v>
      </c>
      <c r="E146" s="12">
        <v>0.14638447971781299</v>
      </c>
      <c r="F146" s="11">
        <v>4.0564373897707229E-2</v>
      </c>
      <c r="G146" s="12">
        <v>160</v>
      </c>
      <c r="H146" s="11">
        <v>301</v>
      </c>
      <c r="I146" s="12">
        <v>83</v>
      </c>
      <c r="J146" s="11">
        <v>23</v>
      </c>
      <c r="K146" s="35">
        <v>567</v>
      </c>
      <c r="L146" s="80"/>
      <c r="M146" s="83"/>
      <c r="N146" s="13">
        <v>-0.469200819730759</v>
      </c>
    </row>
    <row r="147" spans="1:14" x14ac:dyDescent="0.35">
      <c r="A147" s="89"/>
      <c r="B147" s="11" t="s">
        <v>21</v>
      </c>
      <c r="C147" s="12">
        <v>0.53125</v>
      </c>
      <c r="D147" s="11">
        <v>0.29276315789473678</v>
      </c>
      <c r="E147" s="12">
        <v>0.13486842105263161</v>
      </c>
      <c r="F147" s="11">
        <v>4.1118421052631582E-2</v>
      </c>
      <c r="G147" s="12">
        <v>323</v>
      </c>
      <c r="H147" s="11">
        <v>178</v>
      </c>
      <c r="I147" s="12">
        <v>82</v>
      </c>
      <c r="J147" s="11">
        <v>25</v>
      </c>
      <c r="K147" s="35">
        <v>608</v>
      </c>
      <c r="L147" s="80"/>
      <c r="M147" s="83"/>
      <c r="N147" s="13">
        <v>-0.89641875028610196</v>
      </c>
    </row>
    <row r="148" spans="1:14" ht="16" thickBot="1" x14ac:dyDescent="0.4">
      <c r="A148" s="90"/>
      <c r="B148" s="14" t="s">
        <v>381</v>
      </c>
      <c r="C148" s="15">
        <v>0.27380952380952378</v>
      </c>
      <c r="D148" s="14">
        <v>0.49404761904761912</v>
      </c>
      <c r="E148" s="15">
        <v>0.2142857142857143</v>
      </c>
      <c r="F148" s="14">
        <v>1.785714285714286E-2</v>
      </c>
      <c r="G148" s="15">
        <v>92</v>
      </c>
      <c r="H148" s="14">
        <v>166</v>
      </c>
      <c r="I148" s="15">
        <v>72</v>
      </c>
      <c r="J148" s="14">
        <v>6</v>
      </c>
      <c r="K148" s="36">
        <v>336</v>
      </c>
      <c r="L148" s="81"/>
      <c r="M148" s="84"/>
      <c r="N148" s="16">
        <v>-0.77976989746093806</v>
      </c>
    </row>
    <row r="149" spans="1:14" x14ac:dyDescent="0.35">
      <c r="A149" s="91" t="s">
        <v>402</v>
      </c>
      <c r="B149" s="17" t="s">
        <v>29</v>
      </c>
      <c r="C149" s="18">
        <v>0.48362235067437381</v>
      </c>
      <c r="D149" s="17">
        <v>0.37957610789980728</v>
      </c>
      <c r="E149" s="18">
        <v>4.238921001926782E-2</v>
      </c>
      <c r="F149" s="17">
        <v>9.4412331406551059E-2</v>
      </c>
      <c r="G149" s="18">
        <v>251</v>
      </c>
      <c r="H149" s="17">
        <v>197</v>
      </c>
      <c r="I149" s="18">
        <v>22</v>
      </c>
      <c r="J149" s="17">
        <v>49</v>
      </c>
      <c r="K149" s="37">
        <v>519</v>
      </c>
      <c r="L149" s="76" t="s">
        <v>10</v>
      </c>
      <c r="M149" s="85">
        <v>-0.78975415229797397</v>
      </c>
      <c r="N149" s="19">
        <v>0.57740128040313698</v>
      </c>
    </row>
    <row r="150" spans="1:14" x14ac:dyDescent="0.35">
      <c r="A150" s="92"/>
      <c r="B150" s="20" t="s">
        <v>25</v>
      </c>
      <c r="C150" s="21">
        <v>0.54678362573099415</v>
      </c>
      <c r="D150" s="20">
        <v>0.23391812865497069</v>
      </c>
      <c r="E150" s="21">
        <v>0.1111111111111111</v>
      </c>
      <c r="F150" s="20">
        <v>0.108187134502924</v>
      </c>
      <c r="G150" s="21">
        <v>187</v>
      </c>
      <c r="H150" s="20">
        <v>80</v>
      </c>
      <c r="I150" s="21">
        <v>38</v>
      </c>
      <c r="J150" s="20">
        <v>37</v>
      </c>
      <c r="K150" s="38">
        <v>342</v>
      </c>
      <c r="L150" s="77"/>
      <c r="M150" s="86"/>
      <c r="N150" s="22">
        <v>0.64523607492446899</v>
      </c>
    </row>
    <row r="151" spans="1:14" x14ac:dyDescent="0.35">
      <c r="A151" s="92"/>
      <c r="B151" s="20" t="s">
        <v>63</v>
      </c>
      <c r="C151" s="21">
        <v>0.69067796610169496</v>
      </c>
      <c r="D151" s="20">
        <v>0.20338983050847459</v>
      </c>
      <c r="E151" s="21">
        <v>8.050847457627118E-2</v>
      </c>
      <c r="F151" s="20">
        <v>2.542372881355932E-2</v>
      </c>
      <c r="G151" s="21">
        <v>163</v>
      </c>
      <c r="H151" s="20">
        <v>48</v>
      </c>
      <c r="I151" s="21">
        <v>19</v>
      </c>
      <c r="J151" s="20">
        <v>6</v>
      </c>
      <c r="K151" s="38">
        <v>236</v>
      </c>
      <c r="L151" s="77"/>
      <c r="M151" s="86"/>
      <c r="N151" s="22">
        <v>0.276141196489334</v>
      </c>
    </row>
    <row r="152" spans="1:14" x14ac:dyDescent="0.35">
      <c r="A152" s="92"/>
      <c r="B152" s="20" t="s">
        <v>380</v>
      </c>
      <c r="C152" s="21">
        <v>0.66835443037974684</v>
      </c>
      <c r="D152" s="20">
        <v>0.16708860759493671</v>
      </c>
      <c r="E152" s="21">
        <v>7.5949367088607597E-2</v>
      </c>
      <c r="F152" s="20">
        <v>8.8607594936708861E-2</v>
      </c>
      <c r="G152" s="21">
        <v>264</v>
      </c>
      <c r="H152" s="20">
        <v>66</v>
      </c>
      <c r="I152" s="21">
        <v>30</v>
      </c>
      <c r="J152" s="20">
        <v>35</v>
      </c>
      <c r="K152" s="38">
        <v>395</v>
      </c>
      <c r="L152" s="77"/>
      <c r="M152" s="86"/>
      <c r="N152" s="22">
        <v>0.69148308038711503</v>
      </c>
    </row>
    <row r="153" spans="1:14" x14ac:dyDescent="0.35">
      <c r="A153" s="92"/>
      <c r="B153" s="20" t="s">
        <v>11</v>
      </c>
      <c r="C153" s="21">
        <v>0.72839506172839508</v>
      </c>
      <c r="D153" s="20">
        <v>0.126984126984127</v>
      </c>
      <c r="E153" s="21">
        <v>4.0564373897707229E-2</v>
      </c>
      <c r="F153" s="20">
        <v>0.1040564373897707</v>
      </c>
      <c r="G153" s="21">
        <v>413</v>
      </c>
      <c r="H153" s="20">
        <v>72</v>
      </c>
      <c r="I153" s="21">
        <v>23</v>
      </c>
      <c r="J153" s="20">
        <v>59</v>
      </c>
      <c r="K153" s="38">
        <v>567</v>
      </c>
      <c r="L153" s="77"/>
      <c r="M153" s="86"/>
      <c r="N153" s="22">
        <v>0.75752753019332897</v>
      </c>
    </row>
    <row r="154" spans="1:14" x14ac:dyDescent="0.35">
      <c r="A154" s="92"/>
      <c r="B154" s="20" t="s">
        <v>21</v>
      </c>
      <c r="C154" s="21">
        <v>0.41611842105263158</v>
      </c>
      <c r="D154" s="20">
        <v>0.46546052631578949</v>
      </c>
      <c r="E154" s="21">
        <v>5.0986842105263157E-2</v>
      </c>
      <c r="F154" s="20">
        <v>6.7434210526315791E-2</v>
      </c>
      <c r="G154" s="21">
        <v>253</v>
      </c>
      <c r="H154" s="20">
        <v>283</v>
      </c>
      <c r="I154" s="21">
        <v>31</v>
      </c>
      <c r="J154" s="20">
        <v>41</v>
      </c>
      <c r="K154" s="38">
        <v>608</v>
      </c>
      <c r="L154" s="77"/>
      <c r="M154" s="86"/>
      <c r="N154" s="22">
        <v>0.858326435089111</v>
      </c>
    </row>
    <row r="155" spans="1:14" ht="16" thickBot="1" x14ac:dyDescent="0.4">
      <c r="A155" s="93"/>
      <c r="B155" s="26" t="s">
        <v>381</v>
      </c>
      <c r="C155" s="27">
        <v>0.6071428571428571</v>
      </c>
      <c r="D155" s="26">
        <v>0.15773809523809521</v>
      </c>
      <c r="E155" s="27">
        <v>7.7380952380952384E-2</v>
      </c>
      <c r="F155" s="26">
        <v>0.15773809523809521</v>
      </c>
      <c r="G155" s="27">
        <v>204</v>
      </c>
      <c r="H155" s="26">
        <v>53</v>
      </c>
      <c r="I155" s="27">
        <v>26</v>
      </c>
      <c r="J155" s="26">
        <v>53</v>
      </c>
      <c r="K155" s="39">
        <v>336</v>
      </c>
      <c r="L155" s="78"/>
      <c r="M155" s="87"/>
      <c r="N155" s="28">
        <v>0.71730679273605302</v>
      </c>
    </row>
    <row r="156" spans="1:14" x14ac:dyDescent="0.35">
      <c r="A156" s="88" t="s">
        <v>403</v>
      </c>
      <c r="B156" s="8" t="s">
        <v>29</v>
      </c>
      <c r="C156" s="9">
        <v>0.2832369942196532</v>
      </c>
      <c r="D156" s="8">
        <v>0.3603082851637765</v>
      </c>
      <c r="E156" s="9">
        <v>0.25818882466281312</v>
      </c>
      <c r="F156" s="8">
        <v>9.8265895953757232E-2</v>
      </c>
      <c r="G156" s="9">
        <v>147</v>
      </c>
      <c r="H156" s="8">
        <v>187</v>
      </c>
      <c r="I156" s="9">
        <v>134</v>
      </c>
      <c r="J156" s="8">
        <v>51</v>
      </c>
      <c r="K156" s="34">
        <v>519</v>
      </c>
      <c r="L156" s="79" t="s">
        <v>36</v>
      </c>
      <c r="M156" s="82">
        <v>0.46437710523605302</v>
      </c>
      <c r="N156" s="10">
        <v>-0.55473834276199296</v>
      </c>
    </row>
    <row r="157" spans="1:14" x14ac:dyDescent="0.35">
      <c r="A157" s="89"/>
      <c r="B157" s="11" t="s">
        <v>25</v>
      </c>
      <c r="C157" s="12">
        <v>0.35087719298245612</v>
      </c>
      <c r="D157" s="11">
        <v>0.35087719298245612</v>
      </c>
      <c r="E157" s="12">
        <v>0.26900584795321641</v>
      </c>
      <c r="F157" s="11">
        <v>2.923976608187134E-2</v>
      </c>
      <c r="G157" s="12">
        <v>120</v>
      </c>
      <c r="H157" s="11">
        <v>120</v>
      </c>
      <c r="I157" s="12">
        <v>92</v>
      </c>
      <c r="J157" s="11">
        <v>10</v>
      </c>
      <c r="K157" s="35">
        <v>342</v>
      </c>
      <c r="L157" s="80"/>
      <c r="M157" s="83"/>
      <c r="N157" s="13">
        <v>-0.39760056138038602</v>
      </c>
    </row>
    <row r="158" spans="1:14" x14ac:dyDescent="0.35">
      <c r="A158" s="89"/>
      <c r="B158" s="11" t="s">
        <v>63</v>
      </c>
      <c r="C158" s="12">
        <v>0.2288135593220339</v>
      </c>
      <c r="D158" s="11">
        <v>0.38983050847457629</v>
      </c>
      <c r="E158" s="12">
        <v>0.36440677966101692</v>
      </c>
      <c r="F158" s="11">
        <v>1.6949152542372881E-2</v>
      </c>
      <c r="G158" s="12">
        <v>54</v>
      </c>
      <c r="H158" s="11">
        <v>92</v>
      </c>
      <c r="I158" s="12">
        <v>86</v>
      </c>
      <c r="J158" s="11">
        <v>4</v>
      </c>
      <c r="K158" s="35">
        <v>236</v>
      </c>
      <c r="L158" s="80"/>
      <c r="M158" s="83"/>
      <c r="N158" s="13">
        <v>-0.83109891414642301</v>
      </c>
    </row>
    <row r="159" spans="1:14" x14ac:dyDescent="0.35">
      <c r="A159" s="89"/>
      <c r="B159" s="11" t="s">
        <v>380</v>
      </c>
      <c r="C159" s="12">
        <v>0.31645569620253172</v>
      </c>
      <c r="D159" s="11">
        <v>0.39746835443037981</v>
      </c>
      <c r="E159" s="12">
        <v>0.25316455696202528</v>
      </c>
      <c r="F159" s="11">
        <v>3.2911392405063293E-2</v>
      </c>
      <c r="G159" s="12">
        <v>125</v>
      </c>
      <c r="H159" s="11">
        <v>157</v>
      </c>
      <c r="I159" s="12">
        <v>100</v>
      </c>
      <c r="J159" s="11">
        <v>13</v>
      </c>
      <c r="K159" s="35">
        <v>395</v>
      </c>
      <c r="L159" s="80"/>
      <c r="M159" s="83"/>
      <c r="N159" s="13">
        <v>-0.55363553762435902</v>
      </c>
    </row>
    <row r="160" spans="1:14" x14ac:dyDescent="0.35">
      <c r="A160" s="89"/>
      <c r="B160" s="11" t="s">
        <v>11</v>
      </c>
      <c r="C160" s="12">
        <v>0.36684303350970021</v>
      </c>
      <c r="D160" s="11">
        <v>0.38271604938271597</v>
      </c>
      <c r="E160" s="12">
        <v>0.2433862433862434</v>
      </c>
      <c r="F160" s="11">
        <v>7.0546737213403876E-3</v>
      </c>
      <c r="G160" s="12">
        <v>208</v>
      </c>
      <c r="H160" s="11">
        <v>217</v>
      </c>
      <c r="I160" s="12">
        <v>138</v>
      </c>
      <c r="J160" s="11">
        <v>4</v>
      </c>
      <c r="K160" s="35">
        <v>567</v>
      </c>
      <c r="L160" s="80"/>
      <c r="M160" s="83"/>
      <c r="N160" s="13">
        <v>-0.20032534003257799</v>
      </c>
    </row>
    <row r="161" spans="1:14" x14ac:dyDescent="0.35">
      <c r="A161" s="89"/>
      <c r="B161" s="11" t="s">
        <v>21</v>
      </c>
      <c r="C161" s="12">
        <v>0.48026315789473678</v>
      </c>
      <c r="D161" s="11">
        <v>0.23848684210526319</v>
      </c>
      <c r="E161" s="12">
        <v>0.24671052631578949</v>
      </c>
      <c r="F161" s="11">
        <v>3.453947368421053E-2</v>
      </c>
      <c r="G161" s="12">
        <v>292</v>
      </c>
      <c r="H161" s="11">
        <v>145</v>
      </c>
      <c r="I161" s="12">
        <v>150</v>
      </c>
      <c r="J161" s="11">
        <v>21</v>
      </c>
      <c r="K161" s="35">
        <v>608</v>
      </c>
      <c r="L161" s="80"/>
      <c r="M161" s="83"/>
      <c r="N161" s="13">
        <v>-0.42745348811149603</v>
      </c>
    </row>
    <row r="162" spans="1:14" ht="16" thickBot="1" x14ac:dyDescent="0.4">
      <c r="A162" s="90"/>
      <c r="B162" s="14" t="s">
        <v>381</v>
      </c>
      <c r="C162" s="15">
        <v>0.35119047619047622</v>
      </c>
      <c r="D162" s="14">
        <v>0.30059523809523808</v>
      </c>
      <c r="E162" s="15">
        <v>0.34226190476190482</v>
      </c>
      <c r="F162" s="14">
        <v>5.9523809523809521E-3</v>
      </c>
      <c r="G162" s="15">
        <v>118</v>
      </c>
      <c r="H162" s="14">
        <v>101</v>
      </c>
      <c r="I162" s="15">
        <v>115</v>
      </c>
      <c r="J162" s="14">
        <v>2</v>
      </c>
      <c r="K162" s="36">
        <v>336</v>
      </c>
      <c r="L162" s="81"/>
      <c r="M162" s="84"/>
      <c r="N162" s="16">
        <v>-0.50007468461990401</v>
      </c>
    </row>
    <row r="163" spans="1:14" x14ac:dyDescent="0.35">
      <c r="A163" s="91" t="s">
        <v>404</v>
      </c>
      <c r="B163" s="17" t="s">
        <v>29</v>
      </c>
      <c r="C163" s="18">
        <v>0.47013487475915222</v>
      </c>
      <c r="D163" s="17">
        <v>0.39884393063583817</v>
      </c>
      <c r="E163" s="18">
        <v>3.2755298651252408E-2</v>
      </c>
      <c r="F163" s="17">
        <v>9.8265895953757232E-2</v>
      </c>
      <c r="G163" s="18">
        <v>244</v>
      </c>
      <c r="H163" s="17">
        <v>207</v>
      </c>
      <c r="I163" s="18">
        <v>17</v>
      </c>
      <c r="J163" s="17">
        <v>51</v>
      </c>
      <c r="K163" s="37">
        <v>519</v>
      </c>
      <c r="L163" s="76" t="s">
        <v>44</v>
      </c>
      <c r="M163" s="85">
        <v>-0.57536351680755604</v>
      </c>
      <c r="N163" s="19">
        <v>0.45732855796813998</v>
      </c>
    </row>
    <row r="164" spans="1:14" x14ac:dyDescent="0.35">
      <c r="A164" s="92"/>
      <c r="B164" s="20" t="s">
        <v>25</v>
      </c>
      <c r="C164" s="21">
        <v>0.53216374269005851</v>
      </c>
      <c r="D164" s="20">
        <v>0.42397660818713451</v>
      </c>
      <c r="E164" s="21">
        <v>4.0935672514619881E-2</v>
      </c>
      <c r="F164" s="20">
        <v>2.9239766081871339E-3</v>
      </c>
      <c r="G164" s="21">
        <v>182</v>
      </c>
      <c r="H164" s="20">
        <v>145</v>
      </c>
      <c r="I164" s="21">
        <v>14</v>
      </c>
      <c r="J164" s="20">
        <v>1</v>
      </c>
      <c r="K164" s="38">
        <v>342</v>
      </c>
      <c r="L164" s="77"/>
      <c r="M164" s="86"/>
      <c r="N164" s="22">
        <v>0.55537438392639205</v>
      </c>
    </row>
    <row r="165" spans="1:14" x14ac:dyDescent="0.35">
      <c r="A165" s="92"/>
      <c r="B165" s="20" t="s">
        <v>63</v>
      </c>
      <c r="C165" s="21">
        <v>0.24152542372881361</v>
      </c>
      <c r="D165" s="20">
        <v>0.64406779661016944</v>
      </c>
      <c r="E165" s="21">
        <v>9.3220338983050849E-2</v>
      </c>
      <c r="F165" s="20">
        <v>2.1186440677966101E-2</v>
      </c>
      <c r="G165" s="21">
        <v>57</v>
      </c>
      <c r="H165" s="20">
        <v>152</v>
      </c>
      <c r="I165" s="21">
        <v>22</v>
      </c>
      <c r="J165" s="20">
        <v>5</v>
      </c>
      <c r="K165" s="38">
        <v>236</v>
      </c>
      <c r="L165" s="77"/>
      <c r="M165" s="86"/>
      <c r="N165" s="22">
        <v>-0.216792032122612</v>
      </c>
    </row>
    <row r="166" spans="1:14" x14ac:dyDescent="0.35">
      <c r="A166" s="92"/>
      <c r="B166" s="20" t="s">
        <v>380</v>
      </c>
      <c r="C166" s="21">
        <v>0.6860759493670886</v>
      </c>
      <c r="D166" s="20">
        <v>0.24556962025316459</v>
      </c>
      <c r="E166" s="21">
        <v>6.8354430379746839E-2</v>
      </c>
      <c r="F166" s="20">
        <v>0</v>
      </c>
      <c r="G166" s="21">
        <v>271</v>
      </c>
      <c r="H166" s="20">
        <v>97</v>
      </c>
      <c r="I166" s="21">
        <v>27</v>
      </c>
      <c r="J166" s="20">
        <v>0</v>
      </c>
      <c r="K166" s="38">
        <v>395</v>
      </c>
      <c r="L166" s="77"/>
      <c r="M166" s="86"/>
      <c r="N166" s="22">
        <v>0.48944565653800998</v>
      </c>
    </row>
    <row r="167" spans="1:14" x14ac:dyDescent="0.35">
      <c r="A167" s="92"/>
      <c r="B167" s="20" t="s">
        <v>11</v>
      </c>
      <c r="C167" s="21">
        <v>0.77954144620811283</v>
      </c>
      <c r="D167" s="20">
        <v>0.16402116402116401</v>
      </c>
      <c r="E167" s="21">
        <v>4.585537918871252E-2</v>
      </c>
      <c r="F167" s="20">
        <v>1.058201058201058E-2</v>
      </c>
      <c r="G167" s="21">
        <v>442</v>
      </c>
      <c r="H167" s="20">
        <v>93</v>
      </c>
      <c r="I167" s="21">
        <v>26</v>
      </c>
      <c r="J167" s="20">
        <v>6</v>
      </c>
      <c r="K167" s="38">
        <v>567</v>
      </c>
      <c r="L167" s="77"/>
      <c r="M167" s="86"/>
      <c r="N167" s="22">
        <v>0.86562669277191195</v>
      </c>
    </row>
    <row r="168" spans="1:14" x14ac:dyDescent="0.35">
      <c r="A168" s="92"/>
      <c r="B168" s="20" t="s">
        <v>21</v>
      </c>
      <c r="C168" s="21">
        <v>0.28618421052631582</v>
      </c>
      <c r="D168" s="20">
        <v>0.58881578947368418</v>
      </c>
      <c r="E168" s="21">
        <v>7.7302631578947373E-2</v>
      </c>
      <c r="F168" s="20">
        <v>4.7697368421052627E-2</v>
      </c>
      <c r="G168" s="21">
        <v>174</v>
      </c>
      <c r="H168" s="20">
        <v>358</v>
      </c>
      <c r="I168" s="21">
        <v>47</v>
      </c>
      <c r="J168" s="20">
        <v>29</v>
      </c>
      <c r="K168" s="38">
        <v>608</v>
      </c>
      <c r="L168" s="77"/>
      <c r="M168" s="86"/>
      <c r="N168" s="22">
        <v>0.68894141912460305</v>
      </c>
    </row>
    <row r="169" spans="1:14" ht="16" thickBot="1" x14ac:dyDescent="0.4">
      <c r="A169" s="93"/>
      <c r="B169" s="26" t="s">
        <v>381</v>
      </c>
      <c r="C169" s="27">
        <v>0.41369047619047622</v>
      </c>
      <c r="D169" s="26">
        <v>0.44642857142857151</v>
      </c>
      <c r="E169" s="27">
        <v>0.13988095238095241</v>
      </c>
      <c r="F169" s="26">
        <v>0</v>
      </c>
      <c r="G169" s="27">
        <v>139</v>
      </c>
      <c r="H169" s="26">
        <v>150</v>
      </c>
      <c r="I169" s="27">
        <v>47</v>
      </c>
      <c r="J169" s="26">
        <v>0</v>
      </c>
      <c r="K169" s="39">
        <v>336</v>
      </c>
      <c r="L169" s="78"/>
      <c r="M169" s="87"/>
      <c r="N169" s="28">
        <v>0.311578869819641</v>
      </c>
    </row>
    <row r="170" spans="1:14" x14ac:dyDescent="0.35">
      <c r="A170" s="88" t="s">
        <v>405</v>
      </c>
      <c r="B170" s="8" t="s">
        <v>29</v>
      </c>
      <c r="C170" s="9">
        <v>0.47013487475915222</v>
      </c>
      <c r="D170" s="8">
        <v>0.43352601156069359</v>
      </c>
      <c r="E170" s="9">
        <v>2.6974951830443159E-2</v>
      </c>
      <c r="F170" s="8">
        <v>6.9364161849710976E-2</v>
      </c>
      <c r="G170" s="9">
        <v>244</v>
      </c>
      <c r="H170" s="8">
        <v>225</v>
      </c>
      <c r="I170" s="9">
        <v>14</v>
      </c>
      <c r="J170" s="8">
        <v>36</v>
      </c>
      <c r="K170" s="34">
        <v>519</v>
      </c>
      <c r="L170" s="79" t="s">
        <v>44</v>
      </c>
      <c r="M170" s="82">
        <v>-0.58556252717971802</v>
      </c>
      <c r="N170" s="10">
        <v>0.464911639690399</v>
      </c>
    </row>
    <row r="171" spans="1:14" x14ac:dyDescent="0.35">
      <c r="A171" s="89"/>
      <c r="B171" s="11" t="s">
        <v>25</v>
      </c>
      <c r="C171" s="12">
        <v>0.52631578947368418</v>
      </c>
      <c r="D171" s="11">
        <v>0.40350877192982448</v>
      </c>
      <c r="E171" s="12">
        <v>6.4327485380116955E-2</v>
      </c>
      <c r="F171" s="11">
        <v>5.8479532163742687E-3</v>
      </c>
      <c r="G171" s="12">
        <v>180</v>
      </c>
      <c r="H171" s="11">
        <v>138</v>
      </c>
      <c r="I171" s="12">
        <v>22</v>
      </c>
      <c r="J171" s="11">
        <v>2</v>
      </c>
      <c r="K171" s="35">
        <v>342</v>
      </c>
      <c r="L171" s="80"/>
      <c r="M171" s="83"/>
      <c r="N171" s="13">
        <v>0.51149100065231301</v>
      </c>
    </row>
    <row r="172" spans="1:14" x14ac:dyDescent="0.35">
      <c r="A172" s="89"/>
      <c r="B172" s="11" t="s">
        <v>63</v>
      </c>
      <c r="C172" s="12">
        <v>0.30932203389830509</v>
      </c>
      <c r="D172" s="11">
        <v>0.52966101694915257</v>
      </c>
      <c r="E172" s="12">
        <v>0.14830508474576271</v>
      </c>
      <c r="F172" s="11">
        <v>1.271186440677966E-2</v>
      </c>
      <c r="G172" s="12">
        <v>73</v>
      </c>
      <c r="H172" s="11">
        <v>125</v>
      </c>
      <c r="I172" s="12">
        <v>35</v>
      </c>
      <c r="J172" s="11">
        <v>3</v>
      </c>
      <c r="K172" s="35">
        <v>236</v>
      </c>
      <c r="L172" s="80"/>
      <c r="M172" s="83"/>
      <c r="N172" s="13">
        <v>-0.120256014168262</v>
      </c>
    </row>
    <row r="173" spans="1:14" x14ac:dyDescent="0.35">
      <c r="A173" s="89"/>
      <c r="B173" s="11" t="s">
        <v>380</v>
      </c>
      <c r="C173" s="12">
        <v>0.73924050632911398</v>
      </c>
      <c r="D173" s="11">
        <v>0.23037974683544299</v>
      </c>
      <c r="E173" s="12">
        <v>1.7721518987341769E-2</v>
      </c>
      <c r="F173" s="11">
        <v>1.2658227848101271E-2</v>
      </c>
      <c r="G173" s="12">
        <v>292</v>
      </c>
      <c r="H173" s="11">
        <v>91</v>
      </c>
      <c r="I173" s="12">
        <v>7</v>
      </c>
      <c r="J173" s="11">
        <v>5</v>
      </c>
      <c r="K173" s="35">
        <v>395</v>
      </c>
      <c r="L173" s="80"/>
      <c r="M173" s="83"/>
      <c r="N173" s="13">
        <v>0.51574736833572399</v>
      </c>
    </row>
    <row r="174" spans="1:14" x14ac:dyDescent="0.35">
      <c r="A174" s="89"/>
      <c r="B174" s="11" t="s">
        <v>11</v>
      </c>
      <c r="C174" s="12">
        <v>0.76014109347442682</v>
      </c>
      <c r="D174" s="11">
        <v>0.18165784832451501</v>
      </c>
      <c r="E174" s="12">
        <v>5.6437389770723101E-2</v>
      </c>
      <c r="F174" s="11">
        <v>1.7636684303350969E-3</v>
      </c>
      <c r="G174" s="12">
        <v>431</v>
      </c>
      <c r="H174" s="11">
        <v>103</v>
      </c>
      <c r="I174" s="12">
        <v>32</v>
      </c>
      <c r="J174" s="11">
        <v>1</v>
      </c>
      <c r="K174" s="35">
        <v>567</v>
      </c>
      <c r="L174" s="80"/>
      <c r="M174" s="83"/>
      <c r="N174" s="13">
        <v>0.70143401622772195</v>
      </c>
    </row>
    <row r="175" spans="1:14" x14ac:dyDescent="0.35">
      <c r="A175" s="89"/>
      <c r="B175" s="11" t="s">
        <v>21</v>
      </c>
      <c r="C175" s="12">
        <v>0.31414473684210531</v>
      </c>
      <c r="D175" s="11">
        <v>0.61019736842105265</v>
      </c>
      <c r="E175" s="12">
        <v>6.4144736842105268E-2</v>
      </c>
      <c r="F175" s="11">
        <v>1.151315789473684E-2</v>
      </c>
      <c r="G175" s="12">
        <v>191</v>
      </c>
      <c r="H175" s="11">
        <v>371</v>
      </c>
      <c r="I175" s="12">
        <v>39</v>
      </c>
      <c r="J175" s="11">
        <v>7</v>
      </c>
      <c r="K175" s="35">
        <v>608</v>
      </c>
      <c r="L175" s="80"/>
      <c r="M175" s="83"/>
      <c r="N175" s="13">
        <v>0.66823190450668302</v>
      </c>
    </row>
    <row r="176" spans="1:14" ht="16" thickBot="1" x14ac:dyDescent="0.4">
      <c r="A176" s="90"/>
      <c r="B176" s="14" t="s">
        <v>381</v>
      </c>
      <c r="C176" s="15">
        <v>0.48214285714285721</v>
      </c>
      <c r="D176" s="14">
        <v>0.375</v>
      </c>
      <c r="E176" s="15">
        <v>0.1160714285714286</v>
      </c>
      <c r="F176" s="14">
        <v>2.6785714285714281E-2</v>
      </c>
      <c r="G176" s="15">
        <v>162</v>
      </c>
      <c r="H176" s="14">
        <v>126</v>
      </c>
      <c r="I176" s="15">
        <v>39</v>
      </c>
      <c r="J176" s="14">
        <v>9</v>
      </c>
      <c r="K176" s="36">
        <v>336</v>
      </c>
      <c r="L176" s="81"/>
      <c r="M176" s="84"/>
      <c r="N176" s="16">
        <v>0.35775431990623502</v>
      </c>
    </row>
    <row r="177" spans="1:14" x14ac:dyDescent="0.35">
      <c r="A177" s="91" t="s">
        <v>406</v>
      </c>
      <c r="B177" s="17" t="s">
        <v>29</v>
      </c>
      <c r="C177" s="18">
        <v>0.33718689788053952</v>
      </c>
      <c r="D177" s="17">
        <v>0.53949903660886322</v>
      </c>
      <c r="E177" s="18">
        <v>0.1117533718689788</v>
      </c>
      <c r="F177" s="17">
        <v>1.15606936416185E-2</v>
      </c>
      <c r="G177" s="18">
        <v>175</v>
      </c>
      <c r="H177" s="17">
        <v>280</v>
      </c>
      <c r="I177" s="18">
        <v>58</v>
      </c>
      <c r="J177" s="17">
        <v>6</v>
      </c>
      <c r="K177" s="37">
        <v>519</v>
      </c>
      <c r="L177" s="76" t="s">
        <v>23</v>
      </c>
      <c r="M177" s="85">
        <v>-0.161145359277725</v>
      </c>
      <c r="N177" s="19">
        <v>8.4439754486083998E-2</v>
      </c>
    </row>
    <row r="178" spans="1:14" x14ac:dyDescent="0.35">
      <c r="A178" s="92"/>
      <c r="B178" s="20" t="s">
        <v>25</v>
      </c>
      <c r="C178" s="21">
        <v>0.4064327485380117</v>
      </c>
      <c r="D178" s="20">
        <v>0.40350877192982448</v>
      </c>
      <c r="E178" s="21">
        <v>0.17543859649122809</v>
      </c>
      <c r="F178" s="20">
        <v>1.461988304093567E-2</v>
      </c>
      <c r="G178" s="21">
        <v>139</v>
      </c>
      <c r="H178" s="20">
        <v>138</v>
      </c>
      <c r="I178" s="21">
        <v>60</v>
      </c>
      <c r="J178" s="20">
        <v>5</v>
      </c>
      <c r="K178" s="38">
        <v>342</v>
      </c>
      <c r="L178" s="77"/>
      <c r="M178" s="86"/>
      <c r="N178" s="22">
        <v>0.233074486255646</v>
      </c>
    </row>
    <row r="179" spans="1:14" x14ac:dyDescent="0.35">
      <c r="A179" s="92"/>
      <c r="B179" s="20" t="s">
        <v>63</v>
      </c>
      <c r="C179" s="21">
        <v>0.2288135593220339</v>
      </c>
      <c r="D179" s="20">
        <v>0.55508474576271183</v>
      </c>
      <c r="E179" s="21">
        <v>0.2076271186440678</v>
      </c>
      <c r="F179" s="20">
        <v>8.4745762711864406E-3</v>
      </c>
      <c r="G179" s="21">
        <v>54</v>
      </c>
      <c r="H179" s="20">
        <v>131</v>
      </c>
      <c r="I179" s="21">
        <v>49</v>
      </c>
      <c r="J179" s="20">
        <v>2</v>
      </c>
      <c r="K179" s="38">
        <v>236</v>
      </c>
      <c r="L179" s="77"/>
      <c r="M179" s="86"/>
      <c r="N179" s="22">
        <v>-0.39153724908828702</v>
      </c>
    </row>
    <row r="180" spans="1:14" x14ac:dyDescent="0.35">
      <c r="A180" s="92"/>
      <c r="B180" s="20" t="s">
        <v>380</v>
      </c>
      <c r="C180" s="21">
        <v>0.43544303797468348</v>
      </c>
      <c r="D180" s="20">
        <v>0.44303797468354428</v>
      </c>
      <c r="E180" s="21">
        <v>0.12151898734177211</v>
      </c>
      <c r="F180" s="20">
        <v>0</v>
      </c>
      <c r="G180" s="21">
        <v>172</v>
      </c>
      <c r="H180" s="20">
        <v>175</v>
      </c>
      <c r="I180" s="21">
        <v>48</v>
      </c>
      <c r="J180" s="20">
        <v>0</v>
      </c>
      <c r="K180" s="38">
        <v>395</v>
      </c>
      <c r="L180" s="77"/>
      <c r="M180" s="86"/>
      <c r="N180" s="22">
        <v>4.7696322202682502E-2</v>
      </c>
    </row>
    <row r="181" spans="1:14" x14ac:dyDescent="0.35">
      <c r="A181" s="92"/>
      <c r="B181" s="20" t="s">
        <v>11</v>
      </c>
      <c r="C181" s="21">
        <v>0.46560846560846558</v>
      </c>
      <c r="D181" s="20">
        <v>0.38271604938271597</v>
      </c>
      <c r="E181" s="21">
        <v>0.14462081128747789</v>
      </c>
      <c r="F181" s="20">
        <v>7.0546737213403876E-3</v>
      </c>
      <c r="G181" s="21">
        <v>264</v>
      </c>
      <c r="H181" s="20">
        <v>217</v>
      </c>
      <c r="I181" s="21">
        <v>82</v>
      </c>
      <c r="J181" s="20">
        <v>4</v>
      </c>
      <c r="K181" s="38">
        <v>567</v>
      </c>
      <c r="L181" s="77"/>
      <c r="M181" s="86"/>
      <c r="N181" s="22">
        <v>0.171727195382118</v>
      </c>
    </row>
    <row r="182" spans="1:14" x14ac:dyDescent="0.35">
      <c r="A182" s="92"/>
      <c r="B182" s="20" t="s">
        <v>21</v>
      </c>
      <c r="C182" s="21">
        <v>0.29769736842105271</v>
      </c>
      <c r="D182" s="20">
        <v>0.50164473684210531</v>
      </c>
      <c r="E182" s="21">
        <v>0.13486842105263161</v>
      </c>
      <c r="F182" s="20">
        <v>6.5789473684210523E-2</v>
      </c>
      <c r="G182" s="21">
        <v>181</v>
      </c>
      <c r="H182" s="20">
        <v>305</v>
      </c>
      <c r="I182" s="21">
        <v>82</v>
      </c>
      <c r="J182" s="20">
        <v>40</v>
      </c>
      <c r="K182" s="38">
        <v>608</v>
      </c>
      <c r="L182" s="77"/>
      <c r="M182" s="86"/>
      <c r="N182" s="22">
        <v>0.29329511523246798</v>
      </c>
    </row>
    <row r="183" spans="1:14" ht="16" thickBot="1" x14ac:dyDescent="0.4">
      <c r="A183" s="93"/>
      <c r="B183" s="26" t="s">
        <v>381</v>
      </c>
      <c r="C183" s="27">
        <v>0.31845238095238088</v>
      </c>
      <c r="D183" s="26">
        <v>0.36607142857142849</v>
      </c>
      <c r="E183" s="27">
        <v>0.20833333333333329</v>
      </c>
      <c r="F183" s="26">
        <v>0.1071428571428571</v>
      </c>
      <c r="G183" s="27">
        <v>107</v>
      </c>
      <c r="H183" s="26">
        <v>123</v>
      </c>
      <c r="I183" s="27">
        <v>70</v>
      </c>
      <c r="J183" s="26">
        <v>36</v>
      </c>
      <c r="K183" s="39">
        <v>336</v>
      </c>
      <c r="L183" s="78"/>
      <c r="M183" s="87"/>
      <c r="N183" s="28">
        <v>6.9995187222957597E-2</v>
      </c>
    </row>
    <row r="184" spans="1:14" x14ac:dyDescent="0.35">
      <c r="A184" s="88" t="s">
        <v>407</v>
      </c>
      <c r="B184" s="8" t="s">
        <v>29</v>
      </c>
      <c r="C184" s="9">
        <v>0.25240847784200388</v>
      </c>
      <c r="D184" s="8">
        <v>0.23506743737957611</v>
      </c>
      <c r="E184" s="9">
        <v>0.33718689788053952</v>
      </c>
      <c r="F184" s="8">
        <v>0.1753371868978805</v>
      </c>
      <c r="G184" s="9">
        <v>131</v>
      </c>
      <c r="H184" s="8">
        <v>122</v>
      </c>
      <c r="I184" s="9">
        <v>175</v>
      </c>
      <c r="J184" s="8">
        <v>91</v>
      </c>
      <c r="K184" s="34">
        <v>519</v>
      </c>
      <c r="L184" s="79" t="s">
        <v>36</v>
      </c>
      <c r="M184" s="82">
        <v>0.27965712547302202</v>
      </c>
      <c r="N184" s="10">
        <v>-0.48718759417533902</v>
      </c>
    </row>
    <row r="185" spans="1:14" x14ac:dyDescent="0.35">
      <c r="A185" s="89"/>
      <c r="B185" s="11" t="s">
        <v>25</v>
      </c>
      <c r="C185" s="12">
        <v>0.47953216374268998</v>
      </c>
      <c r="D185" s="11">
        <v>0.12865497076023391</v>
      </c>
      <c r="E185" s="12">
        <v>0.30701754385964908</v>
      </c>
      <c r="F185" s="11">
        <v>8.4795321637426896E-2</v>
      </c>
      <c r="G185" s="12">
        <v>164</v>
      </c>
      <c r="H185" s="11">
        <v>44</v>
      </c>
      <c r="I185" s="12">
        <v>105</v>
      </c>
      <c r="J185" s="11">
        <v>29</v>
      </c>
      <c r="K185" s="35">
        <v>342</v>
      </c>
      <c r="L185" s="80"/>
      <c r="M185" s="83"/>
      <c r="N185" s="13">
        <v>-8.8939554989337893E-2</v>
      </c>
    </row>
    <row r="186" spans="1:14" x14ac:dyDescent="0.35">
      <c r="A186" s="89"/>
      <c r="B186" s="11" t="s">
        <v>63</v>
      </c>
      <c r="C186" s="12">
        <v>0.19067796610169491</v>
      </c>
      <c r="D186" s="11">
        <v>0.1652542372881356</v>
      </c>
      <c r="E186" s="12">
        <v>0.33050847457627119</v>
      </c>
      <c r="F186" s="11">
        <v>0.3135593220338983</v>
      </c>
      <c r="G186" s="12">
        <v>45</v>
      </c>
      <c r="H186" s="11">
        <v>39</v>
      </c>
      <c r="I186" s="12">
        <v>78</v>
      </c>
      <c r="J186" s="11">
        <v>74</v>
      </c>
      <c r="K186" s="35">
        <v>236</v>
      </c>
      <c r="L186" s="80"/>
      <c r="M186" s="83"/>
      <c r="N186" s="13">
        <v>-0.35014402866363498</v>
      </c>
    </row>
    <row r="187" spans="1:14" x14ac:dyDescent="0.35">
      <c r="A187" s="89"/>
      <c r="B187" s="11" t="s">
        <v>380</v>
      </c>
      <c r="C187" s="12">
        <v>0.31139240506329108</v>
      </c>
      <c r="D187" s="11">
        <v>0.25822784810126581</v>
      </c>
      <c r="E187" s="12">
        <v>0.21772151898734179</v>
      </c>
      <c r="F187" s="11">
        <v>0.21265822784810129</v>
      </c>
      <c r="G187" s="12">
        <v>123</v>
      </c>
      <c r="H187" s="11">
        <v>102</v>
      </c>
      <c r="I187" s="12">
        <v>86</v>
      </c>
      <c r="J187" s="11">
        <v>84</v>
      </c>
      <c r="K187" s="35">
        <v>395</v>
      </c>
      <c r="L187" s="80"/>
      <c r="M187" s="83"/>
      <c r="N187" s="13">
        <v>-0.42915704846382102</v>
      </c>
    </row>
    <row r="188" spans="1:14" x14ac:dyDescent="0.35">
      <c r="A188" s="89"/>
      <c r="B188" s="11" t="s">
        <v>11</v>
      </c>
      <c r="C188" s="12">
        <v>0.38271604938271597</v>
      </c>
      <c r="D188" s="11">
        <v>0.22398589065255731</v>
      </c>
      <c r="E188" s="12">
        <v>0.27865961199294531</v>
      </c>
      <c r="F188" s="11">
        <v>0.1146384479717813</v>
      </c>
      <c r="G188" s="12">
        <v>217</v>
      </c>
      <c r="H188" s="11">
        <v>127</v>
      </c>
      <c r="I188" s="12">
        <v>158</v>
      </c>
      <c r="J188" s="11">
        <v>65</v>
      </c>
      <c r="K188" s="35">
        <v>567</v>
      </c>
      <c r="L188" s="80"/>
      <c r="M188" s="83"/>
      <c r="N188" s="13">
        <v>-5.4096054285764701E-2</v>
      </c>
    </row>
    <row r="189" spans="1:14" x14ac:dyDescent="0.35">
      <c r="A189" s="89"/>
      <c r="B189" s="11" t="s">
        <v>21</v>
      </c>
      <c r="C189" s="12">
        <v>0.59210526315789469</v>
      </c>
      <c r="D189" s="11">
        <v>0.15953947368421051</v>
      </c>
      <c r="E189" s="12">
        <v>0.1792763157894737</v>
      </c>
      <c r="F189" s="11">
        <v>6.9078947368421059E-2</v>
      </c>
      <c r="G189" s="12">
        <v>360</v>
      </c>
      <c r="H189" s="11">
        <v>97</v>
      </c>
      <c r="I189" s="12">
        <v>109</v>
      </c>
      <c r="J189" s="11">
        <v>42</v>
      </c>
      <c r="K189" s="35">
        <v>608</v>
      </c>
      <c r="L189" s="80"/>
      <c r="M189" s="83"/>
      <c r="N189" s="13">
        <v>-0.43152645230293302</v>
      </c>
    </row>
    <row r="190" spans="1:14" ht="16" thickBot="1" x14ac:dyDescent="0.4">
      <c r="A190" s="90"/>
      <c r="B190" s="14" t="s">
        <v>381</v>
      </c>
      <c r="C190" s="15">
        <v>0.46130952380952378</v>
      </c>
      <c r="D190" s="14">
        <v>0.23809523809523811</v>
      </c>
      <c r="E190" s="15">
        <v>0.28273809523809518</v>
      </c>
      <c r="F190" s="14">
        <v>1.785714285714286E-2</v>
      </c>
      <c r="G190" s="15">
        <v>155</v>
      </c>
      <c r="H190" s="14">
        <v>80</v>
      </c>
      <c r="I190" s="15">
        <v>95</v>
      </c>
      <c r="J190" s="14">
        <v>6</v>
      </c>
      <c r="K190" s="36">
        <v>336</v>
      </c>
      <c r="L190" s="81"/>
      <c r="M190" s="84"/>
      <c r="N190" s="16">
        <v>-0.260205447673798</v>
      </c>
    </row>
    <row r="191" spans="1:14" x14ac:dyDescent="0.35">
      <c r="A191" s="91" t="s">
        <v>408</v>
      </c>
      <c r="B191" s="17" t="s">
        <v>29</v>
      </c>
      <c r="C191" s="18">
        <v>0.4932562620423892</v>
      </c>
      <c r="D191" s="17">
        <v>0.44894026974951828</v>
      </c>
      <c r="E191" s="18">
        <v>3.4682080924855488E-2</v>
      </c>
      <c r="F191" s="17">
        <v>2.312138728323699E-2</v>
      </c>
      <c r="G191" s="18">
        <v>256</v>
      </c>
      <c r="H191" s="17">
        <v>233</v>
      </c>
      <c r="I191" s="18">
        <v>18</v>
      </c>
      <c r="J191" s="17">
        <v>12</v>
      </c>
      <c r="K191" s="37">
        <v>519</v>
      </c>
      <c r="L191" s="76" t="s">
        <v>44</v>
      </c>
      <c r="M191" s="85">
        <v>-0.70573121309280396</v>
      </c>
      <c r="N191" s="19">
        <v>0.53544151782989502</v>
      </c>
    </row>
    <row r="192" spans="1:14" x14ac:dyDescent="0.35">
      <c r="A192" s="92"/>
      <c r="B192" s="20" t="s">
        <v>25</v>
      </c>
      <c r="C192" s="21">
        <v>0.5935672514619883</v>
      </c>
      <c r="D192" s="20">
        <v>0.28362573099415211</v>
      </c>
      <c r="E192" s="21">
        <v>0.1228070175438596</v>
      </c>
      <c r="F192" s="20">
        <v>0</v>
      </c>
      <c r="G192" s="21">
        <v>203</v>
      </c>
      <c r="H192" s="20">
        <v>97</v>
      </c>
      <c r="I192" s="21">
        <v>42</v>
      </c>
      <c r="J192" s="20">
        <v>0</v>
      </c>
      <c r="K192" s="38">
        <v>342</v>
      </c>
      <c r="L192" s="77"/>
      <c r="M192" s="86"/>
      <c r="N192" s="22">
        <v>0.81630164384841897</v>
      </c>
    </row>
    <row r="193" spans="1:14" x14ac:dyDescent="0.35">
      <c r="A193" s="92"/>
      <c r="B193" s="20" t="s">
        <v>63</v>
      </c>
      <c r="C193" s="21">
        <v>0.51694915254237284</v>
      </c>
      <c r="D193" s="20">
        <v>0.27542372881355931</v>
      </c>
      <c r="E193" s="21">
        <v>0.2076271186440678</v>
      </c>
      <c r="F193" s="20">
        <v>0</v>
      </c>
      <c r="G193" s="21">
        <v>122</v>
      </c>
      <c r="H193" s="20">
        <v>65</v>
      </c>
      <c r="I193" s="21">
        <v>49</v>
      </c>
      <c r="J193" s="20">
        <v>0</v>
      </c>
      <c r="K193" s="38">
        <v>236</v>
      </c>
      <c r="L193" s="77"/>
      <c r="M193" s="86"/>
      <c r="N193" s="22">
        <v>0.123323850333691</v>
      </c>
    </row>
    <row r="194" spans="1:14" x14ac:dyDescent="0.35">
      <c r="A194" s="92"/>
      <c r="B194" s="20" t="s">
        <v>380</v>
      </c>
      <c r="C194" s="21">
        <v>0.70886075949367089</v>
      </c>
      <c r="D194" s="20">
        <v>0.23037974683544299</v>
      </c>
      <c r="E194" s="21">
        <v>5.5696202531645568E-2</v>
      </c>
      <c r="F194" s="20">
        <v>5.0632911392405064E-3</v>
      </c>
      <c r="G194" s="21">
        <v>280</v>
      </c>
      <c r="H194" s="20">
        <v>91</v>
      </c>
      <c r="I194" s="21">
        <v>22</v>
      </c>
      <c r="J194" s="20">
        <v>2</v>
      </c>
      <c r="K194" s="38">
        <v>395</v>
      </c>
      <c r="L194" s="77"/>
      <c r="M194" s="86"/>
      <c r="N194" s="22">
        <v>0.509044408798218</v>
      </c>
    </row>
    <row r="195" spans="1:14" x14ac:dyDescent="0.35">
      <c r="A195" s="92"/>
      <c r="B195" s="20" t="s">
        <v>11</v>
      </c>
      <c r="C195" s="21">
        <v>0.82363315696649031</v>
      </c>
      <c r="D195" s="20">
        <v>0.14991181657848321</v>
      </c>
      <c r="E195" s="21">
        <v>2.292768959435626E-2</v>
      </c>
      <c r="F195" s="20">
        <v>3.5273368606701938E-3</v>
      </c>
      <c r="G195" s="21">
        <v>467</v>
      </c>
      <c r="H195" s="20">
        <v>85</v>
      </c>
      <c r="I195" s="21">
        <v>13</v>
      </c>
      <c r="J195" s="20">
        <v>2</v>
      </c>
      <c r="K195" s="38">
        <v>567</v>
      </c>
      <c r="L195" s="77"/>
      <c r="M195" s="86"/>
      <c r="N195" s="22">
        <v>0.88082635402679399</v>
      </c>
    </row>
    <row r="196" spans="1:14" x14ac:dyDescent="0.35">
      <c r="A196" s="92"/>
      <c r="B196" s="20" t="s">
        <v>21</v>
      </c>
      <c r="C196" s="21">
        <v>0.36842105263157893</v>
      </c>
      <c r="D196" s="20">
        <v>0.56414473684210531</v>
      </c>
      <c r="E196" s="21">
        <v>5.921052631578947E-2</v>
      </c>
      <c r="F196" s="20">
        <v>8.2236842105263153E-3</v>
      </c>
      <c r="G196" s="21">
        <v>224</v>
      </c>
      <c r="H196" s="20">
        <v>343</v>
      </c>
      <c r="I196" s="21">
        <v>36</v>
      </c>
      <c r="J196" s="20">
        <v>5</v>
      </c>
      <c r="K196" s="38">
        <v>608</v>
      </c>
      <c r="L196" s="77"/>
      <c r="M196" s="86"/>
      <c r="N196" s="22">
        <v>0.76413470506668102</v>
      </c>
    </row>
    <row r="197" spans="1:14" ht="16" thickBot="1" x14ac:dyDescent="0.4">
      <c r="A197" s="93"/>
      <c r="B197" s="26" t="s">
        <v>381</v>
      </c>
      <c r="C197" s="27">
        <v>0.57738095238095233</v>
      </c>
      <c r="D197" s="26">
        <v>0.27380952380952378</v>
      </c>
      <c r="E197" s="27">
        <v>0.12797619047619049</v>
      </c>
      <c r="F197" s="26">
        <v>2.0833333333333329E-2</v>
      </c>
      <c r="G197" s="27">
        <v>194</v>
      </c>
      <c r="H197" s="26">
        <v>92</v>
      </c>
      <c r="I197" s="27">
        <v>43</v>
      </c>
      <c r="J197" s="26">
        <v>7</v>
      </c>
      <c r="K197" s="39">
        <v>336</v>
      </c>
      <c r="L197" s="78"/>
      <c r="M197" s="87"/>
      <c r="N197" s="28">
        <v>0.57410645484924305</v>
      </c>
    </row>
    <row r="198" spans="1:14" x14ac:dyDescent="0.35">
      <c r="A198" s="88" t="s">
        <v>409</v>
      </c>
      <c r="B198" s="8" t="s">
        <v>29</v>
      </c>
      <c r="C198" s="9">
        <v>0.41040462427745672</v>
      </c>
      <c r="D198" s="8">
        <v>0.23699421965317921</v>
      </c>
      <c r="E198" s="9">
        <v>0.31791907514450868</v>
      </c>
      <c r="F198" s="8">
        <v>3.4682080924855488E-2</v>
      </c>
      <c r="G198" s="9">
        <v>213</v>
      </c>
      <c r="H198" s="8">
        <v>123</v>
      </c>
      <c r="I198" s="9">
        <v>165</v>
      </c>
      <c r="J198" s="8">
        <v>18</v>
      </c>
      <c r="K198" s="34">
        <v>519</v>
      </c>
      <c r="L198" s="79" t="s">
        <v>59</v>
      </c>
      <c r="M198" s="82">
        <v>-0.47968810796737699</v>
      </c>
      <c r="N198" s="10">
        <v>0.38323804736137401</v>
      </c>
    </row>
    <row r="199" spans="1:14" x14ac:dyDescent="0.35">
      <c r="A199" s="89"/>
      <c r="B199" s="11" t="s">
        <v>25</v>
      </c>
      <c r="C199" s="12">
        <v>0.46198830409356723</v>
      </c>
      <c r="D199" s="11">
        <v>0.2046783625730994</v>
      </c>
      <c r="E199" s="12">
        <v>0.28947368421052633</v>
      </c>
      <c r="F199" s="11">
        <v>4.3859649122807022E-2</v>
      </c>
      <c r="G199" s="12">
        <v>158</v>
      </c>
      <c r="H199" s="11">
        <v>70</v>
      </c>
      <c r="I199" s="12">
        <v>99</v>
      </c>
      <c r="J199" s="11">
        <v>15</v>
      </c>
      <c r="K199" s="35">
        <v>342</v>
      </c>
      <c r="L199" s="80"/>
      <c r="M199" s="83"/>
      <c r="N199" s="13">
        <v>0.441095471382141</v>
      </c>
    </row>
    <row r="200" spans="1:14" x14ac:dyDescent="0.35">
      <c r="A200" s="89"/>
      <c r="B200" s="11" t="s">
        <v>63</v>
      </c>
      <c r="C200" s="12">
        <v>0.71186440677966101</v>
      </c>
      <c r="D200" s="11">
        <v>0.1271186440677966</v>
      </c>
      <c r="E200" s="12">
        <v>0.14830508474576271</v>
      </c>
      <c r="F200" s="11">
        <v>1.271186440677966E-2</v>
      </c>
      <c r="G200" s="12">
        <v>168</v>
      </c>
      <c r="H200" s="11">
        <v>30</v>
      </c>
      <c r="I200" s="12">
        <v>35</v>
      </c>
      <c r="J200" s="11">
        <v>3</v>
      </c>
      <c r="K200" s="35">
        <v>236</v>
      </c>
      <c r="L200" s="80"/>
      <c r="M200" s="83"/>
      <c r="N200" s="13">
        <v>0.13915009796619399</v>
      </c>
    </row>
    <row r="201" spans="1:14" x14ac:dyDescent="0.35">
      <c r="A201" s="89"/>
      <c r="B201" s="11" t="s">
        <v>380</v>
      </c>
      <c r="C201" s="12">
        <v>0.68860759493670887</v>
      </c>
      <c r="D201" s="11">
        <v>0.16455696202531639</v>
      </c>
      <c r="E201" s="12">
        <v>0.13670886075949371</v>
      </c>
      <c r="F201" s="11">
        <v>1.0126582278481009E-2</v>
      </c>
      <c r="G201" s="12">
        <v>272</v>
      </c>
      <c r="H201" s="11">
        <v>65</v>
      </c>
      <c r="I201" s="12">
        <v>54</v>
      </c>
      <c r="J201" s="11">
        <v>4</v>
      </c>
      <c r="K201" s="35">
        <v>395</v>
      </c>
      <c r="L201" s="80"/>
      <c r="M201" s="83"/>
      <c r="N201" s="13">
        <v>0.49750694632530201</v>
      </c>
    </row>
    <row r="202" spans="1:14" x14ac:dyDescent="0.35">
      <c r="A202" s="89"/>
      <c r="B202" s="11" t="s">
        <v>11</v>
      </c>
      <c r="C202" s="12">
        <v>0.60846560846560849</v>
      </c>
      <c r="D202" s="11">
        <v>0.14109347442680781</v>
      </c>
      <c r="E202" s="12">
        <v>0.23809523809523811</v>
      </c>
      <c r="F202" s="11">
        <v>1.234567901234568E-2</v>
      </c>
      <c r="G202" s="12">
        <v>345</v>
      </c>
      <c r="H202" s="11">
        <v>80</v>
      </c>
      <c r="I202" s="12">
        <v>135</v>
      </c>
      <c r="J202" s="11">
        <v>7</v>
      </c>
      <c r="K202" s="35">
        <v>567</v>
      </c>
      <c r="L202" s="80"/>
      <c r="M202" s="83"/>
      <c r="N202" s="13">
        <v>0.41030141711235002</v>
      </c>
    </row>
    <row r="203" spans="1:14" x14ac:dyDescent="0.35">
      <c r="A203" s="89"/>
      <c r="B203" s="11" t="s">
        <v>21</v>
      </c>
      <c r="C203" s="12">
        <v>0.2417763157894737</v>
      </c>
      <c r="D203" s="11">
        <v>0.38322368421052633</v>
      </c>
      <c r="E203" s="12">
        <v>0.1036184210526316</v>
      </c>
      <c r="F203" s="11">
        <v>0.27138157894736842</v>
      </c>
      <c r="G203" s="12">
        <v>147</v>
      </c>
      <c r="H203" s="11">
        <v>233</v>
      </c>
      <c r="I203" s="12">
        <v>63</v>
      </c>
      <c r="J203" s="11">
        <v>165</v>
      </c>
      <c r="K203" s="35">
        <v>608</v>
      </c>
      <c r="L203" s="80"/>
      <c r="M203" s="83"/>
      <c r="N203" s="13">
        <v>0.490214854478836</v>
      </c>
    </row>
    <row r="204" spans="1:14" ht="16" thickBot="1" x14ac:dyDescent="0.4">
      <c r="A204" s="90"/>
      <c r="B204" s="14" t="s">
        <v>381</v>
      </c>
      <c r="C204" s="15">
        <v>0.41666666666666669</v>
      </c>
      <c r="D204" s="14">
        <v>0.25892857142857151</v>
      </c>
      <c r="E204" s="15">
        <v>0.30952380952380948</v>
      </c>
      <c r="F204" s="14">
        <v>1.488095238095238E-2</v>
      </c>
      <c r="G204" s="15">
        <v>140</v>
      </c>
      <c r="H204" s="14">
        <v>87</v>
      </c>
      <c r="I204" s="15">
        <v>104</v>
      </c>
      <c r="J204" s="14">
        <v>5</v>
      </c>
      <c r="K204" s="36">
        <v>336</v>
      </c>
      <c r="L204" s="81"/>
      <c r="M204" s="84"/>
      <c r="N204" s="16">
        <v>0.18581895530223799</v>
      </c>
    </row>
    <row r="205" spans="1:14" x14ac:dyDescent="0.35">
      <c r="A205" s="91" t="s">
        <v>410</v>
      </c>
      <c r="B205" s="17" t="s">
        <v>29</v>
      </c>
      <c r="C205" s="18">
        <v>0.59922928709055878</v>
      </c>
      <c r="D205" s="17">
        <v>0.37379576107899809</v>
      </c>
      <c r="E205" s="18">
        <v>0</v>
      </c>
      <c r="F205" s="17">
        <v>2.6974951830443159E-2</v>
      </c>
      <c r="G205" s="18">
        <v>311</v>
      </c>
      <c r="H205" s="17">
        <v>194</v>
      </c>
      <c r="I205" s="18">
        <v>0</v>
      </c>
      <c r="J205" s="17">
        <v>14</v>
      </c>
      <c r="K205" s="37">
        <v>519</v>
      </c>
      <c r="L205" s="76" t="s">
        <v>53</v>
      </c>
      <c r="M205" s="85">
        <v>-0.57128477096557595</v>
      </c>
      <c r="N205" s="19">
        <v>0.82627117633819602</v>
      </c>
    </row>
    <row r="206" spans="1:14" x14ac:dyDescent="0.35">
      <c r="A206" s="92"/>
      <c r="B206" s="20" t="s">
        <v>25</v>
      </c>
      <c r="C206" s="21">
        <v>0.58771929824561409</v>
      </c>
      <c r="D206" s="20">
        <v>0.3888888888888889</v>
      </c>
      <c r="E206" s="21">
        <v>0</v>
      </c>
      <c r="F206" s="20">
        <v>2.3391812865497071E-2</v>
      </c>
      <c r="G206" s="21">
        <v>201</v>
      </c>
      <c r="H206" s="20">
        <v>133</v>
      </c>
      <c r="I206" s="21">
        <v>0</v>
      </c>
      <c r="J206" s="20">
        <v>8</v>
      </c>
      <c r="K206" s="38">
        <v>342</v>
      </c>
      <c r="L206" s="77"/>
      <c r="M206" s="86"/>
      <c r="N206" s="22">
        <v>0.54189723730087302</v>
      </c>
    </row>
    <row r="207" spans="1:14" x14ac:dyDescent="0.35">
      <c r="A207" s="92"/>
      <c r="B207" s="20" t="s">
        <v>63</v>
      </c>
      <c r="C207" s="21">
        <v>0.57203389830508478</v>
      </c>
      <c r="D207" s="20">
        <v>0.38559322033898308</v>
      </c>
      <c r="E207" s="21">
        <v>0</v>
      </c>
      <c r="F207" s="20">
        <v>4.2372881355932202E-2</v>
      </c>
      <c r="G207" s="21">
        <v>135</v>
      </c>
      <c r="H207" s="20">
        <v>91</v>
      </c>
      <c r="I207" s="21">
        <v>0</v>
      </c>
      <c r="J207" s="20">
        <v>10</v>
      </c>
      <c r="K207" s="38">
        <v>236</v>
      </c>
      <c r="L207" s="77"/>
      <c r="M207" s="86"/>
      <c r="N207" s="22">
        <v>6.8744219839572906E-2</v>
      </c>
    </row>
    <row r="208" spans="1:14" x14ac:dyDescent="0.35">
      <c r="A208" s="92"/>
      <c r="B208" s="20" t="s">
        <v>380</v>
      </c>
      <c r="C208" s="21">
        <v>0.61012658227848104</v>
      </c>
      <c r="D208" s="20">
        <v>0.35443037974683539</v>
      </c>
      <c r="E208" s="21">
        <v>0</v>
      </c>
      <c r="F208" s="20">
        <v>3.5443037974683553E-2</v>
      </c>
      <c r="G208" s="21">
        <v>241</v>
      </c>
      <c r="H208" s="20">
        <v>140</v>
      </c>
      <c r="I208" s="21">
        <v>0</v>
      </c>
      <c r="J208" s="20">
        <v>14</v>
      </c>
      <c r="K208" s="38">
        <v>395</v>
      </c>
      <c r="L208" s="77"/>
      <c r="M208" s="86"/>
      <c r="N208" s="22">
        <v>0.321021348237991</v>
      </c>
    </row>
    <row r="209" spans="1:14" x14ac:dyDescent="0.35">
      <c r="A209" s="92"/>
      <c r="B209" s="20" t="s">
        <v>11</v>
      </c>
      <c r="C209" s="21">
        <v>0.62257495590828926</v>
      </c>
      <c r="D209" s="20">
        <v>0.36331569664903002</v>
      </c>
      <c r="E209" s="21">
        <v>0</v>
      </c>
      <c r="F209" s="20">
        <v>1.410934744268078E-2</v>
      </c>
      <c r="G209" s="21">
        <v>353</v>
      </c>
      <c r="H209" s="20">
        <v>206</v>
      </c>
      <c r="I209" s="21">
        <v>0</v>
      </c>
      <c r="J209" s="20">
        <v>8</v>
      </c>
      <c r="K209" s="38">
        <v>567</v>
      </c>
      <c r="L209" s="77"/>
      <c r="M209" s="86"/>
      <c r="N209" s="22">
        <v>0.392679303884506</v>
      </c>
    </row>
    <row r="210" spans="1:14" x14ac:dyDescent="0.35">
      <c r="A210" s="92"/>
      <c r="B210" s="20" t="s">
        <v>21</v>
      </c>
      <c r="C210" s="21">
        <v>0.38157894736842107</v>
      </c>
      <c r="D210" s="20">
        <v>0.58223684210526316</v>
      </c>
      <c r="E210" s="21">
        <v>0</v>
      </c>
      <c r="F210" s="20">
        <v>3.6184210526315791E-2</v>
      </c>
      <c r="G210" s="21">
        <v>232</v>
      </c>
      <c r="H210" s="20">
        <v>354</v>
      </c>
      <c r="I210" s="21">
        <v>0</v>
      </c>
      <c r="J210" s="20">
        <v>22</v>
      </c>
      <c r="K210" s="38">
        <v>608</v>
      </c>
      <c r="L210" s="77"/>
      <c r="M210" s="86"/>
      <c r="N210" s="22">
        <v>0.75937741994857799</v>
      </c>
    </row>
    <row r="211" spans="1:14" ht="16" thickBot="1" x14ac:dyDescent="0.4">
      <c r="A211" s="93"/>
      <c r="B211" s="26" t="s">
        <v>381</v>
      </c>
      <c r="C211" s="27">
        <v>0.5892857142857143</v>
      </c>
      <c r="D211" s="26">
        <v>0.38095238095238088</v>
      </c>
      <c r="E211" s="27">
        <v>0</v>
      </c>
      <c r="F211" s="26">
        <v>2.976190476190476E-2</v>
      </c>
      <c r="G211" s="27">
        <v>198</v>
      </c>
      <c r="H211" s="26">
        <v>128</v>
      </c>
      <c r="I211" s="27">
        <v>0</v>
      </c>
      <c r="J211" s="26">
        <v>10</v>
      </c>
      <c r="K211" s="39">
        <v>336</v>
      </c>
      <c r="L211" s="78"/>
      <c r="M211" s="87"/>
      <c r="N211" s="28">
        <v>0.44518786668777499</v>
      </c>
    </row>
    <row r="212" spans="1:14" x14ac:dyDescent="0.35">
      <c r="A212" s="88" t="s">
        <v>411</v>
      </c>
      <c r="B212" s="8" t="s">
        <v>29</v>
      </c>
      <c r="C212" s="9">
        <v>0.47784200385356462</v>
      </c>
      <c r="D212" s="8">
        <v>0.44315992292870898</v>
      </c>
      <c r="E212" s="9">
        <v>4.6242774566473993E-2</v>
      </c>
      <c r="F212" s="8">
        <v>3.2755298651252408E-2</v>
      </c>
      <c r="G212" s="9">
        <v>248</v>
      </c>
      <c r="H212" s="8">
        <v>230</v>
      </c>
      <c r="I212" s="9">
        <v>24</v>
      </c>
      <c r="J212" s="8">
        <v>17</v>
      </c>
      <c r="K212" s="34">
        <v>519</v>
      </c>
      <c r="L212" s="79" t="s">
        <v>44</v>
      </c>
      <c r="M212" s="82">
        <v>-0.52797091007232699</v>
      </c>
      <c r="N212" s="10">
        <v>0.47631627321243297</v>
      </c>
    </row>
    <row r="213" spans="1:14" x14ac:dyDescent="0.35">
      <c r="A213" s="89"/>
      <c r="B213" s="11" t="s">
        <v>25</v>
      </c>
      <c r="C213" s="12">
        <v>0.49707602339181278</v>
      </c>
      <c r="D213" s="11">
        <v>0.41228070175438603</v>
      </c>
      <c r="E213" s="12">
        <v>8.4795321637426896E-2</v>
      </c>
      <c r="F213" s="11">
        <v>5.8479532163742687E-3</v>
      </c>
      <c r="G213" s="12">
        <v>170</v>
      </c>
      <c r="H213" s="11">
        <v>141</v>
      </c>
      <c r="I213" s="12">
        <v>29</v>
      </c>
      <c r="J213" s="11">
        <v>2</v>
      </c>
      <c r="K213" s="35">
        <v>342</v>
      </c>
      <c r="L213" s="80"/>
      <c r="M213" s="83"/>
      <c r="N213" s="13">
        <v>0.48674410581588701</v>
      </c>
    </row>
    <row r="214" spans="1:14" x14ac:dyDescent="0.35">
      <c r="A214" s="89"/>
      <c r="B214" s="11" t="s">
        <v>63</v>
      </c>
      <c r="C214" s="12">
        <v>0.27542372881355931</v>
      </c>
      <c r="D214" s="11">
        <v>0.56355932203389836</v>
      </c>
      <c r="E214" s="12">
        <v>0.1271186440677966</v>
      </c>
      <c r="F214" s="11">
        <v>3.3898305084745763E-2</v>
      </c>
      <c r="G214" s="12">
        <v>65</v>
      </c>
      <c r="H214" s="11">
        <v>133</v>
      </c>
      <c r="I214" s="12">
        <v>30</v>
      </c>
      <c r="J214" s="11">
        <v>8</v>
      </c>
      <c r="K214" s="35">
        <v>236</v>
      </c>
      <c r="L214" s="80"/>
      <c r="M214" s="83"/>
      <c r="N214" s="13">
        <v>-0.17284421622753099</v>
      </c>
    </row>
    <row r="215" spans="1:14" x14ac:dyDescent="0.35">
      <c r="A215" s="89"/>
      <c r="B215" s="11" t="s">
        <v>380</v>
      </c>
      <c r="C215" s="12">
        <v>0.65316455696202536</v>
      </c>
      <c r="D215" s="11">
        <v>0.24556962025316459</v>
      </c>
      <c r="E215" s="12">
        <v>9.3670886075949367E-2</v>
      </c>
      <c r="F215" s="11">
        <v>7.5949367088607592E-3</v>
      </c>
      <c r="G215" s="12">
        <v>258</v>
      </c>
      <c r="H215" s="11">
        <v>97</v>
      </c>
      <c r="I215" s="12">
        <v>37</v>
      </c>
      <c r="J215" s="11">
        <v>3</v>
      </c>
      <c r="K215" s="35">
        <v>395</v>
      </c>
      <c r="L215" s="80"/>
      <c r="M215" s="83"/>
      <c r="N215" s="13">
        <v>0.46380087733268699</v>
      </c>
    </row>
    <row r="216" spans="1:14" x14ac:dyDescent="0.35">
      <c r="A216" s="89"/>
      <c r="B216" s="11" t="s">
        <v>11</v>
      </c>
      <c r="C216" s="12">
        <v>0.65079365079365081</v>
      </c>
      <c r="D216" s="11">
        <v>0.20458553791887121</v>
      </c>
      <c r="E216" s="12">
        <v>0.1322751322751323</v>
      </c>
      <c r="F216" s="11">
        <v>1.234567901234568E-2</v>
      </c>
      <c r="G216" s="12">
        <v>369</v>
      </c>
      <c r="H216" s="11">
        <v>116</v>
      </c>
      <c r="I216" s="12">
        <v>75</v>
      </c>
      <c r="J216" s="11">
        <v>7</v>
      </c>
      <c r="K216" s="35">
        <v>567</v>
      </c>
      <c r="L216" s="80"/>
      <c r="M216" s="83"/>
      <c r="N216" s="13">
        <v>0.58149421215057395</v>
      </c>
    </row>
    <row r="217" spans="1:14" x14ac:dyDescent="0.35">
      <c r="A217" s="89"/>
      <c r="B217" s="11" t="s">
        <v>21</v>
      </c>
      <c r="C217" s="12">
        <v>0.30427631578947367</v>
      </c>
      <c r="D217" s="11">
        <v>0.60526315789473684</v>
      </c>
      <c r="E217" s="12">
        <v>8.5526315789473686E-2</v>
      </c>
      <c r="F217" s="11">
        <v>4.9342105263157892E-3</v>
      </c>
      <c r="G217" s="12">
        <v>185</v>
      </c>
      <c r="H217" s="11">
        <v>368</v>
      </c>
      <c r="I217" s="12">
        <v>52</v>
      </c>
      <c r="J217" s="11">
        <v>3</v>
      </c>
      <c r="K217" s="35">
        <v>608</v>
      </c>
      <c r="L217" s="80"/>
      <c r="M217" s="83"/>
      <c r="N217" s="13">
        <v>0.643501937389374</v>
      </c>
    </row>
    <row r="218" spans="1:14" ht="16" thickBot="1" x14ac:dyDescent="0.4">
      <c r="A218" s="90"/>
      <c r="B218" s="14" t="s">
        <v>381</v>
      </c>
      <c r="C218" s="15">
        <v>0.39285714285714279</v>
      </c>
      <c r="D218" s="14">
        <v>0.41666666666666669</v>
      </c>
      <c r="E218" s="15">
        <v>0.19047619047619049</v>
      </c>
      <c r="F218" s="14">
        <v>0</v>
      </c>
      <c r="G218" s="15">
        <v>132</v>
      </c>
      <c r="H218" s="14">
        <v>140</v>
      </c>
      <c r="I218" s="15">
        <v>64</v>
      </c>
      <c r="J218" s="14">
        <v>0</v>
      </c>
      <c r="K218" s="36">
        <v>336</v>
      </c>
      <c r="L218" s="81"/>
      <c r="M218" s="84"/>
      <c r="N218" s="16">
        <v>0.350042194128036</v>
      </c>
    </row>
    <row r="219" spans="1:14" x14ac:dyDescent="0.35">
      <c r="A219" s="91" t="s">
        <v>412</v>
      </c>
      <c r="B219" s="17" t="s">
        <v>29</v>
      </c>
      <c r="C219" s="18">
        <v>0.52023121387283233</v>
      </c>
      <c r="D219" s="17">
        <v>0.43159922928709049</v>
      </c>
      <c r="E219" s="18">
        <v>2.312138728323699E-2</v>
      </c>
      <c r="F219" s="17">
        <v>2.504816955684008E-2</v>
      </c>
      <c r="G219" s="18">
        <v>270</v>
      </c>
      <c r="H219" s="17">
        <v>224</v>
      </c>
      <c r="I219" s="18">
        <v>12</v>
      </c>
      <c r="J219" s="17">
        <v>13</v>
      </c>
      <c r="K219" s="37">
        <v>519</v>
      </c>
      <c r="L219" s="76" t="s">
        <v>28</v>
      </c>
      <c r="M219" s="85">
        <v>-0.89929187297821001</v>
      </c>
      <c r="N219" s="19">
        <v>0.64945548772811901</v>
      </c>
    </row>
    <row r="220" spans="1:14" x14ac:dyDescent="0.35">
      <c r="A220" s="92"/>
      <c r="B220" s="20" t="s">
        <v>25</v>
      </c>
      <c r="C220" s="21">
        <v>0.75146198830409361</v>
      </c>
      <c r="D220" s="20">
        <v>0.23099415204678361</v>
      </c>
      <c r="E220" s="21">
        <v>1.1695906432748541E-2</v>
      </c>
      <c r="F220" s="20">
        <v>5.8479532163742687E-3</v>
      </c>
      <c r="G220" s="21">
        <v>257</v>
      </c>
      <c r="H220" s="20">
        <v>79</v>
      </c>
      <c r="I220" s="21">
        <v>4</v>
      </c>
      <c r="J220" s="20">
        <v>2</v>
      </c>
      <c r="K220" s="38">
        <v>342</v>
      </c>
      <c r="L220" s="77"/>
      <c r="M220" s="86"/>
      <c r="N220" s="22">
        <v>0.96269601583480802</v>
      </c>
    </row>
    <row r="221" spans="1:14" x14ac:dyDescent="0.35">
      <c r="A221" s="92"/>
      <c r="B221" s="20" t="s">
        <v>63</v>
      </c>
      <c r="C221" s="21">
        <v>0.75847457627118642</v>
      </c>
      <c r="D221" s="20">
        <v>0.21610169491525419</v>
      </c>
      <c r="E221" s="21">
        <v>2.542372881355932E-2</v>
      </c>
      <c r="F221" s="20">
        <v>0</v>
      </c>
      <c r="G221" s="21">
        <v>179</v>
      </c>
      <c r="H221" s="20">
        <v>51</v>
      </c>
      <c r="I221" s="21">
        <v>6</v>
      </c>
      <c r="J221" s="20">
        <v>0</v>
      </c>
      <c r="K221" s="38">
        <v>236</v>
      </c>
      <c r="L221" s="77"/>
      <c r="M221" s="86"/>
      <c r="N221" s="22">
        <v>0.57259207963943504</v>
      </c>
    </row>
    <row r="222" spans="1:14" x14ac:dyDescent="0.35">
      <c r="A222" s="92"/>
      <c r="B222" s="20" t="s">
        <v>380</v>
      </c>
      <c r="C222" s="21">
        <v>0.78481012658227844</v>
      </c>
      <c r="D222" s="20">
        <v>0.16455696202531639</v>
      </c>
      <c r="E222" s="21">
        <v>3.7974683544303799E-2</v>
      </c>
      <c r="F222" s="20">
        <v>1.2658227848101271E-2</v>
      </c>
      <c r="G222" s="21">
        <v>310</v>
      </c>
      <c r="H222" s="20">
        <v>65</v>
      </c>
      <c r="I222" s="21">
        <v>15</v>
      </c>
      <c r="J222" s="20">
        <v>5</v>
      </c>
      <c r="K222" s="38">
        <v>395</v>
      </c>
      <c r="L222" s="77"/>
      <c r="M222" s="86"/>
      <c r="N222" s="22">
        <v>0.85730957984924305</v>
      </c>
    </row>
    <row r="223" spans="1:14" x14ac:dyDescent="0.35">
      <c r="A223" s="92"/>
      <c r="B223" s="20" t="s">
        <v>11</v>
      </c>
      <c r="C223" s="21">
        <v>0.7707231040564374</v>
      </c>
      <c r="D223" s="20">
        <v>0.126984126984127</v>
      </c>
      <c r="E223" s="21">
        <v>9.5238095238095233E-2</v>
      </c>
      <c r="F223" s="20">
        <v>7.0546737213403876E-3</v>
      </c>
      <c r="G223" s="21">
        <v>437</v>
      </c>
      <c r="H223" s="20">
        <v>72</v>
      </c>
      <c r="I223" s="21">
        <v>54</v>
      </c>
      <c r="J223" s="20">
        <v>4</v>
      </c>
      <c r="K223" s="38">
        <v>567</v>
      </c>
      <c r="L223" s="77"/>
      <c r="M223" s="86"/>
      <c r="N223" s="22">
        <v>0.86782455444335904</v>
      </c>
    </row>
    <row r="224" spans="1:14" x14ac:dyDescent="0.35">
      <c r="A224" s="92"/>
      <c r="B224" s="20" t="s">
        <v>21</v>
      </c>
      <c r="C224" s="21">
        <v>0.41776315789473678</v>
      </c>
      <c r="D224" s="20">
        <v>0.50657894736842102</v>
      </c>
      <c r="E224" s="21">
        <v>4.7697368421052627E-2</v>
      </c>
      <c r="F224" s="20">
        <v>2.796052631578947E-2</v>
      </c>
      <c r="G224" s="21">
        <v>254</v>
      </c>
      <c r="H224" s="20">
        <v>308</v>
      </c>
      <c r="I224" s="21">
        <v>29</v>
      </c>
      <c r="J224" s="20">
        <v>17</v>
      </c>
      <c r="K224" s="38">
        <v>608</v>
      </c>
      <c r="L224" s="77"/>
      <c r="M224" s="86"/>
      <c r="N224" s="22">
        <v>0.88421726226806596</v>
      </c>
    </row>
    <row r="225" spans="1:14" ht="16" thickBot="1" x14ac:dyDescent="0.4">
      <c r="A225" s="93"/>
      <c r="B225" s="26" t="s">
        <v>381</v>
      </c>
      <c r="C225" s="27">
        <v>0.70833333333333337</v>
      </c>
      <c r="D225" s="26">
        <v>0.25</v>
      </c>
      <c r="E225" s="27">
        <v>2.976190476190476E-2</v>
      </c>
      <c r="F225" s="26">
        <v>1.1904761904761901E-2</v>
      </c>
      <c r="G225" s="27">
        <v>238</v>
      </c>
      <c r="H225" s="26">
        <v>84</v>
      </c>
      <c r="I225" s="27">
        <v>10</v>
      </c>
      <c r="J225" s="26">
        <v>4</v>
      </c>
      <c r="K225" s="39">
        <v>336</v>
      </c>
      <c r="L225" s="78"/>
      <c r="M225" s="87"/>
      <c r="N225" s="28">
        <v>0.79495006799697898</v>
      </c>
    </row>
    <row r="226" spans="1:14" x14ac:dyDescent="0.35">
      <c r="A226" s="88" t="s">
        <v>413</v>
      </c>
      <c r="B226" s="8" t="s">
        <v>29</v>
      </c>
      <c r="C226" s="9">
        <v>0.51637764932562624</v>
      </c>
      <c r="D226" s="8">
        <v>0.45664739884393057</v>
      </c>
      <c r="E226" s="9">
        <v>1.348747591522158E-2</v>
      </c>
      <c r="F226" s="8">
        <v>1.348747591522158E-2</v>
      </c>
      <c r="G226" s="9">
        <v>268</v>
      </c>
      <c r="H226" s="8">
        <v>237</v>
      </c>
      <c r="I226" s="9">
        <v>7</v>
      </c>
      <c r="J226" s="8">
        <v>7</v>
      </c>
      <c r="K226" s="34">
        <v>519</v>
      </c>
      <c r="L226" s="79" t="s">
        <v>67</v>
      </c>
      <c r="M226" s="82">
        <v>-0.86589759588241599</v>
      </c>
      <c r="N226" s="10">
        <v>0.63106143474578902</v>
      </c>
    </row>
    <row r="227" spans="1:14" x14ac:dyDescent="0.35">
      <c r="A227" s="89"/>
      <c r="B227" s="11" t="s">
        <v>25</v>
      </c>
      <c r="C227" s="12">
        <v>0.73684210526315785</v>
      </c>
      <c r="D227" s="11">
        <v>0.25438596491228072</v>
      </c>
      <c r="E227" s="12">
        <v>8.771929824561403E-3</v>
      </c>
      <c r="F227" s="11">
        <v>0</v>
      </c>
      <c r="G227" s="12">
        <v>252</v>
      </c>
      <c r="H227" s="11">
        <v>87</v>
      </c>
      <c r="I227" s="12">
        <v>3</v>
      </c>
      <c r="J227" s="11">
        <v>0</v>
      </c>
      <c r="K227" s="35">
        <v>342</v>
      </c>
      <c r="L227" s="80"/>
      <c r="M227" s="83"/>
      <c r="N227" s="13">
        <v>0.94727349281311002</v>
      </c>
    </row>
    <row r="228" spans="1:14" x14ac:dyDescent="0.35">
      <c r="A228" s="89"/>
      <c r="B228" s="11" t="s">
        <v>63</v>
      </c>
      <c r="C228" s="12">
        <v>0.72033898305084743</v>
      </c>
      <c r="D228" s="11">
        <v>0.1864406779661017</v>
      </c>
      <c r="E228" s="12">
        <v>7.6271186440677971E-2</v>
      </c>
      <c r="F228" s="11">
        <v>1.6949152542372881E-2</v>
      </c>
      <c r="G228" s="12">
        <v>170</v>
      </c>
      <c r="H228" s="11">
        <v>44</v>
      </c>
      <c r="I228" s="12">
        <v>18</v>
      </c>
      <c r="J228" s="11">
        <v>4</v>
      </c>
      <c r="K228" s="35">
        <v>236</v>
      </c>
      <c r="L228" s="80"/>
      <c r="M228" s="83"/>
      <c r="N228" s="13">
        <v>0.71070688962936401</v>
      </c>
    </row>
    <row r="229" spans="1:14" x14ac:dyDescent="0.35">
      <c r="A229" s="89"/>
      <c r="B229" s="11" t="s">
        <v>380</v>
      </c>
      <c r="C229" s="12">
        <v>0.76455696202531642</v>
      </c>
      <c r="D229" s="11">
        <v>0.16202531645569621</v>
      </c>
      <c r="E229" s="12">
        <v>5.3164556962025322E-2</v>
      </c>
      <c r="F229" s="11">
        <v>2.0253164556962029E-2</v>
      </c>
      <c r="G229" s="12">
        <v>302</v>
      </c>
      <c r="H229" s="11">
        <v>64</v>
      </c>
      <c r="I229" s="12">
        <v>21</v>
      </c>
      <c r="J229" s="11">
        <v>8</v>
      </c>
      <c r="K229" s="35">
        <v>395</v>
      </c>
      <c r="L229" s="80"/>
      <c r="M229" s="83"/>
      <c r="N229" s="13">
        <v>0.84509533643722501</v>
      </c>
    </row>
    <row r="230" spans="1:14" x14ac:dyDescent="0.35">
      <c r="A230" s="89"/>
      <c r="B230" s="11" t="s">
        <v>11</v>
      </c>
      <c r="C230" s="12">
        <v>0.78483245149911818</v>
      </c>
      <c r="D230" s="11">
        <v>0.13580246913580249</v>
      </c>
      <c r="E230" s="12">
        <v>6.7019400352733682E-2</v>
      </c>
      <c r="F230" s="11">
        <v>1.234567901234568E-2</v>
      </c>
      <c r="G230" s="12">
        <v>445</v>
      </c>
      <c r="H230" s="11">
        <v>77</v>
      </c>
      <c r="I230" s="12">
        <v>38</v>
      </c>
      <c r="J230" s="11">
        <v>7</v>
      </c>
      <c r="K230" s="35">
        <v>567</v>
      </c>
      <c r="L230" s="80"/>
      <c r="M230" s="83"/>
      <c r="N230" s="13">
        <v>0.83186781406402599</v>
      </c>
    </row>
    <row r="231" spans="1:14" x14ac:dyDescent="0.35">
      <c r="A231" s="89"/>
      <c r="B231" s="11" t="s">
        <v>21</v>
      </c>
      <c r="C231" s="12">
        <v>0.40460526315789469</v>
      </c>
      <c r="D231" s="11">
        <v>0.53289473684210531</v>
      </c>
      <c r="E231" s="12">
        <v>3.7828947368421052E-2</v>
      </c>
      <c r="F231" s="11">
        <v>2.4671052631578951E-2</v>
      </c>
      <c r="G231" s="12">
        <v>246</v>
      </c>
      <c r="H231" s="11">
        <v>324</v>
      </c>
      <c r="I231" s="12">
        <v>23</v>
      </c>
      <c r="J231" s="11">
        <v>15</v>
      </c>
      <c r="K231" s="35">
        <v>608</v>
      </c>
      <c r="L231" s="80"/>
      <c r="M231" s="83"/>
      <c r="N231" s="13">
        <v>0.82672059535980202</v>
      </c>
    </row>
    <row r="232" spans="1:14" ht="16" thickBot="1" x14ac:dyDescent="0.4">
      <c r="A232" s="90"/>
      <c r="B232" s="14" t="s">
        <v>381</v>
      </c>
      <c r="C232" s="15">
        <v>0.68452380952380953</v>
      </c>
      <c r="D232" s="14">
        <v>0.22916666666666671</v>
      </c>
      <c r="E232" s="15">
        <v>5.9523809523809521E-2</v>
      </c>
      <c r="F232" s="14">
        <v>2.6785714285714281E-2</v>
      </c>
      <c r="G232" s="15">
        <v>230</v>
      </c>
      <c r="H232" s="14">
        <v>77</v>
      </c>
      <c r="I232" s="15">
        <v>20</v>
      </c>
      <c r="J232" s="14">
        <v>9</v>
      </c>
      <c r="K232" s="36">
        <v>336</v>
      </c>
      <c r="L232" s="81"/>
      <c r="M232" s="84"/>
      <c r="N232" s="16">
        <v>0.91271197795867898</v>
      </c>
    </row>
    <row r="233" spans="1:14" x14ac:dyDescent="0.35">
      <c r="A233" s="91" t="s">
        <v>414</v>
      </c>
      <c r="B233" s="17" t="s">
        <v>29</v>
      </c>
      <c r="C233" s="18">
        <v>0.53949903660886322</v>
      </c>
      <c r="D233" s="17">
        <v>0.44894026974951828</v>
      </c>
      <c r="E233" s="18">
        <v>5.7803468208092483E-3</v>
      </c>
      <c r="F233" s="17">
        <v>5.7803468208092483E-3</v>
      </c>
      <c r="G233" s="18">
        <v>280</v>
      </c>
      <c r="H233" s="17">
        <v>233</v>
      </c>
      <c r="I233" s="18">
        <v>3</v>
      </c>
      <c r="J233" s="17">
        <v>3</v>
      </c>
      <c r="K233" s="37">
        <v>519</v>
      </c>
      <c r="L233" s="76" t="s">
        <v>28</v>
      </c>
      <c r="M233" s="85">
        <v>-0.847054183483124</v>
      </c>
      <c r="N233" s="19">
        <v>0.59428089857101396</v>
      </c>
    </row>
    <row r="234" spans="1:14" x14ac:dyDescent="0.35">
      <c r="A234" s="92"/>
      <c r="B234" s="20" t="s">
        <v>25</v>
      </c>
      <c r="C234" s="21">
        <v>0.67836257309941517</v>
      </c>
      <c r="D234" s="20">
        <v>0.26023391812865498</v>
      </c>
      <c r="E234" s="21">
        <v>4.9707602339181277E-2</v>
      </c>
      <c r="F234" s="20">
        <v>1.1695906432748541E-2</v>
      </c>
      <c r="G234" s="21">
        <v>232</v>
      </c>
      <c r="H234" s="20">
        <v>89</v>
      </c>
      <c r="I234" s="21">
        <v>17</v>
      </c>
      <c r="J234" s="20">
        <v>4</v>
      </c>
      <c r="K234" s="38">
        <v>342</v>
      </c>
      <c r="L234" s="77"/>
      <c r="M234" s="86"/>
      <c r="N234" s="22">
        <v>0.86147290468215898</v>
      </c>
    </row>
    <row r="235" spans="1:14" x14ac:dyDescent="0.35">
      <c r="A235" s="92"/>
      <c r="B235" s="20" t="s">
        <v>63</v>
      </c>
      <c r="C235" s="21">
        <v>0.74576271186440679</v>
      </c>
      <c r="D235" s="20">
        <v>0.16949152542372881</v>
      </c>
      <c r="E235" s="21">
        <v>4.2372881355932202E-2</v>
      </c>
      <c r="F235" s="20">
        <v>4.2372881355932202E-2</v>
      </c>
      <c r="G235" s="21">
        <v>176</v>
      </c>
      <c r="H235" s="20">
        <v>40</v>
      </c>
      <c r="I235" s="21">
        <v>10</v>
      </c>
      <c r="J235" s="20">
        <v>10</v>
      </c>
      <c r="K235" s="38">
        <v>236</v>
      </c>
      <c r="L235" s="77"/>
      <c r="M235" s="86"/>
      <c r="N235" s="22">
        <v>0.30442371964454701</v>
      </c>
    </row>
    <row r="236" spans="1:14" x14ac:dyDescent="0.35">
      <c r="A236" s="92"/>
      <c r="B236" s="20" t="s">
        <v>380</v>
      </c>
      <c r="C236" s="21">
        <v>0.75696202531645573</v>
      </c>
      <c r="D236" s="20">
        <v>0.16202531645569621</v>
      </c>
      <c r="E236" s="21">
        <v>5.0632911392405063E-2</v>
      </c>
      <c r="F236" s="20">
        <v>3.037974683544304E-2</v>
      </c>
      <c r="G236" s="21">
        <v>299</v>
      </c>
      <c r="H236" s="20">
        <v>64</v>
      </c>
      <c r="I236" s="21">
        <v>20</v>
      </c>
      <c r="J236" s="20">
        <v>12</v>
      </c>
      <c r="K236" s="38">
        <v>395</v>
      </c>
      <c r="L236" s="77"/>
      <c r="M236" s="86"/>
      <c r="N236" s="22">
        <v>0.76839423179626498</v>
      </c>
    </row>
    <row r="237" spans="1:14" x14ac:dyDescent="0.35">
      <c r="A237" s="92"/>
      <c r="B237" s="20" t="s">
        <v>11</v>
      </c>
      <c r="C237" s="21">
        <v>0.84832451499118167</v>
      </c>
      <c r="D237" s="20">
        <v>0.14109347442680781</v>
      </c>
      <c r="E237" s="21">
        <v>8.8183421516754845E-3</v>
      </c>
      <c r="F237" s="20">
        <v>1.7636684303350969E-3</v>
      </c>
      <c r="G237" s="21">
        <v>481</v>
      </c>
      <c r="H237" s="20">
        <v>80</v>
      </c>
      <c r="I237" s="21">
        <v>5</v>
      </c>
      <c r="J237" s="20">
        <v>1</v>
      </c>
      <c r="K237" s="38">
        <v>567</v>
      </c>
      <c r="L237" s="77"/>
      <c r="M237" s="86"/>
      <c r="N237" s="22">
        <v>0.89529293775558505</v>
      </c>
    </row>
    <row r="238" spans="1:14" x14ac:dyDescent="0.35">
      <c r="A238" s="92"/>
      <c r="B238" s="20" t="s">
        <v>21</v>
      </c>
      <c r="C238" s="21">
        <v>0.39638157894736842</v>
      </c>
      <c r="D238" s="20">
        <v>0.54276315789473684</v>
      </c>
      <c r="E238" s="21">
        <v>3.6184210526315791E-2</v>
      </c>
      <c r="F238" s="20">
        <v>2.4671052631578951E-2</v>
      </c>
      <c r="G238" s="21">
        <v>241</v>
      </c>
      <c r="H238" s="20">
        <v>330</v>
      </c>
      <c r="I238" s="21">
        <v>22</v>
      </c>
      <c r="J238" s="20">
        <v>15</v>
      </c>
      <c r="K238" s="38">
        <v>608</v>
      </c>
      <c r="L238" s="77"/>
      <c r="M238" s="86"/>
      <c r="N238" s="22">
        <v>0.86162847280502297</v>
      </c>
    </row>
    <row r="239" spans="1:14" ht="16" thickBot="1" x14ac:dyDescent="0.4">
      <c r="A239" s="93"/>
      <c r="B239" s="26" t="s">
        <v>381</v>
      </c>
      <c r="C239" s="27">
        <v>0.74404761904761907</v>
      </c>
      <c r="D239" s="26">
        <v>0.22916666666666671</v>
      </c>
      <c r="E239" s="27">
        <v>2.3809523809523812E-2</v>
      </c>
      <c r="F239" s="26">
        <v>2.976190476190476E-3</v>
      </c>
      <c r="G239" s="27">
        <v>250</v>
      </c>
      <c r="H239" s="26">
        <v>77</v>
      </c>
      <c r="I239" s="27">
        <v>8</v>
      </c>
      <c r="J239" s="26">
        <v>1</v>
      </c>
      <c r="K239" s="39">
        <v>336</v>
      </c>
      <c r="L239" s="78"/>
      <c r="M239" s="87"/>
      <c r="N239" s="28">
        <v>0.99686557054519698</v>
      </c>
    </row>
    <row r="240" spans="1:14" x14ac:dyDescent="0.35">
      <c r="A240" s="88" t="s">
        <v>415</v>
      </c>
      <c r="B240" s="8" t="s">
        <v>29</v>
      </c>
      <c r="C240" s="9">
        <v>0.51637764932562624</v>
      </c>
      <c r="D240" s="8">
        <v>0.40269749518304432</v>
      </c>
      <c r="E240" s="9">
        <v>0</v>
      </c>
      <c r="F240" s="8">
        <v>8.0924855491329481E-2</v>
      </c>
      <c r="G240" s="9">
        <v>268</v>
      </c>
      <c r="H240" s="8">
        <v>209</v>
      </c>
      <c r="I240" s="9">
        <v>0</v>
      </c>
      <c r="J240" s="8">
        <v>42</v>
      </c>
      <c r="K240" s="34">
        <v>519</v>
      </c>
      <c r="L240" s="79" t="s">
        <v>28</v>
      </c>
      <c r="M240" s="82">
        <v>-0.87006652355194103</v>
      </c>
      <c r="N240" s="10">
        <v>0.61437410116195701</v>
      </c>
    </row>
    <row r="241" spans="1:14" x14ac:dyDescent="0.35">
      <c r="A241" s="89"/>
      <c r="B241" s="11" t="s">
        <v>25</v>
      </c>
      <c r="C241" s="12">
        <v>0.64912280701754388</v>
      </c>
      <c r="D241" s="11">
        <v>0.2807017543859649</v>
      </c>
      <c r="E241" s="12">
        <v>2.6315789473684209E-2</v>
      </c>
      <c r="F241" s="11">
        <v>4.3859649122807022E-2</v>
      </c>
      <c r="G241" s="12">
        <v>222</v>
      </c>
      <c r="H241" s="11">
        <v>96</v>
      </c>
      <c r="I241" s="12">
        <v>9</v>
      </c>
      <c r="J241" s="11">
        <v>15</v>
      </c>
      <c r="K241" s="35">
        <v>342</v>
      </c>
      <c r="L241" s="80"/>
      <c r="M241" s="83"/>
      <c r="N241" s="13">
        <v>0.78552448749542203</v>
      </c>
    </row>
    <row r="242" spans="1:14" x14ac:dyDescent="0.35">
      <c r="A242" s="89"/>
      <c r="B242" s="11" t="s">
        <v>63</v>
      </c>
      <c r="C242" s="12">
        <v>0.72881355932203384</v>
      </c>
      <c r="D242" s="11">
        <v>0.21186440677966101</v>
      </c>
      <c r="E242" s="12">
        <v>3.3898305084745763E-2</v>
      </c>
      <c r="F242" s="11">
        <v>2.542372881355932E-2</v>
      </c>
      <c r="G242" s="12">
        <v>172</v>
      </c>
      <c r="H242" s="11">
        <v>50</v>
      </c>
      <c r="I242" s="12">
        <v>8</v>
      </c>
      <c r="J242" s="11">
        <v>6</v>
      </c>
      <c r="K242" s="35">
        <v>236</v>
      </c>
      <c r="L242" s="80"/>
      <c r="M242" s="83"/>
      <c r="N242" s="13">
        <v>0.37754225730896002</v>
      </c>
    </row>
    <row r="243" spans="1:14" x14ac:dyDescent="0.35">
      <c r="A243" s="89"/>
      <c r="B243" s="11" t="s">
        <v>380</v>
      </c>
      <c r="C243" s="12">
        <v>0.78987341772151898</v>
      </c>
      <c r="D243" s="11">
        <v>0.16202531645569621</v>
      </c>
      <c r="E243" s="12">
        <v>2.7848101265822781E-2</v>
      </c>
      <c r="F243" s="11">
        <v>2.0253164556962029E-2</v>
      </c>
      <c r="G243" s="12">
        <v>312</v>
      </c>
      <c r="H243" s="11">
        <v>64</v>
      </c>
      <c r="I243" s="12">
        <v>11</v>
      </c>
      <c r="J243" s="11">
        <v>8</v>
      </c>
      <c r="K243" s="35">
        <v>395</v>
      </c>
      <c r="L243" s="80"/>
      <c r="M243" s="83"/>
      <c r="N243" s="13">
        <v>0.82831305265426602</v>
      </c>
    </row>
    <row r="244" spans="1:14" x14ac:dyDescent="0.35">
      <c r="A244" s="89"/>
      <c r="B244" s="11" t="s">
        <v>11</v>
      </c>
      <c r="C244" s="12">
        <v>0.82892416225749554</v>
      </c>
      <c r="D244" s="11">
        <v>0.1322751322751323</v>
      </c>
      <c r="E244" s="12">
        <v>0</v>
      </c>
      <c r="F244" s="11">
        <v>3.8800705467372132E-2</v>
      </c>
      <c r="G244" s="12">
        <v>470</v>
      </c>
      <c r="H244" s="11">
        <v>75</v>
      </c>
      <c r="I244" s="12">
        <v>0</v>
      </c>
      <c r="J244" s="11">
        <v>22</v>
      </c>
      <c r="K244" s="35">
        <v>567</v>
      </c>
      <c r="L244" s="80"/>
      <c r="M244" s="83"/>
      <c r="N244" s="13">
        <v>0.82564240694045998</v>
      </c>
    </row>
    <row r="245" spans="1:14" x14ac:dyDescent="0.35">
      <c r="A245" s="89"/>
      <c r="B245" s="11" t="s">
        <v>21</v>
      </c>
      <c r="C245" s="12">
        <v>0.36184210526315791</v>
      </c>
      <c r="D245" s="11">
        <v>0.51151315789473684</v>
      </c>
      <c r="E245" s="12">
        <v>3.7828947368421052E-2</v>
      </c>
      <c r="F245" s="11">
        <v>8.8815789473684209E-2</v>
      </c>
      <c r="G245" s="12">
        <v>220</v>
      </c>
      <c r="H245" s="11">
        <v>311</v>
      </c>
      <c r="I245" s="12">
        <v>23</v>
      </c>
      <c r="J245" s="11">
        <v>54</v>
      </c>
      <c r="K245" s="35">
        <v>608</v>
      </c>
      <c r="L245" s="80"/>
      <c r="M245" s="83"/>
      <c r="N245" s="13">
        <v>0.96118438243866</v>
      </c>
    </row>
    <row r="246" spans="1:14" ht="16" thickBot="1" x14ac:dyDescent="0.4">
      <c r="A246" s="90"/>
      <c r="B246" s="14" t="s">
        <v>381</v>
      </c>
      <c r="C246" s="15">
        <v>0.69345238095238093</v>
      </c>
      <c r="D246" s="14">
        <v>0.24404761904761901</v>
      </c>
      <c r="E246" s="15">
        <v>2.976190476190476E-2</v>
      </c>
      <c r="F246" s="14">
        <v>3.273809523809524E-2</v>
      </c>
      <c r="G246" s="15">
        <v>233</v>
      </c>
      <c r="H246" s="14">
        <v>82</v>
      </c>
      <c r="I246" s="15">
        <v>10</v>
      </c>
      <c r="J246" s="14">
        <v>11</v>
      </c>
      <c r="K246" s="36">
        <v>336</v>
      </c>
      <c r="L246" s="81"/>
      <c r="M246" s="84"/>
      <c r="N246" s="16">
        <v>0.836420297622681</v>
      </c>
    </row>
    <row r="247" spans="1:14" x14ac:dyDescent="0.35">
      <c r="A247" s="91" t="s">
        <v>416</v>
      </c>
      <c r="B247" s="17" t="s">
        <v>29</v>
      </c>
      <c r="C247" s="18">
        <v>0.4932562620423892</v>
      </c>
      <c r="D247" s="17">
        <v>0.37186897880539499</v>
      </c>
      <c r="E247" s="18">
        <v>2.119460500963391E-2</v>
      </c>
      <c r="F247" s="17">
        <v>0.1136801541425819</v>
      </c>
      <c r="G247" s="18">
        <v>256</v>
      </c>
      <c r="H247" s="17">
        <v>193</v>
      </c>
      <c r="I247" s="18">
        <v>11</v>
      </c>
      <c r="J247" s="17">
        <v>59</v>
      </c>
      <c r="K247" s="37">
        <v>519</v>
      </c>
      <c r="L247" s="76" t="s">
        <v>44</v>
      </c>
      <c r="M247" s="85">
        <v>-0.601948142051697</v>
      </c>
      <c r="N247" s="19">
        <v>0.52371728420257602</v>
      </c>
    </row>
    <row r="248" spans="1:14" x14ac:dyDescent="0.35">
      <c r="A248" s="92"/>
      <c r="B248" s="20" t="s">
        <v>25</v>
      </c>
      <c r="C248" s="21">
        <v>0.56140350877192979</v>
      </c>
      <c r="D248" s="20">
        <v>0.36549707602339182</v>
      </c>
      <c r="E248" s="21">
        <v>6.1403508771929821E-2</v>
      </c>
      <c r="F248" s="20">
        <v>1.1695906432748541E-2</v>
      </c>
      <c r="G248" s="21">
        <v>192</v>
      </c>
      <c r="H248" s="20">
        <v>125</v>
      </c>
      <c r="I248" s="21">
        <v>21</v>
      </c>
      <c r="J248" s="20">
        <v>4</v>
      </c>
      <c r="K248" s="38">
        <v>342</v>
      </c>
      <c r="L248" s="77"/>
      <c r="M248" s="86"/>
      <c r="N248" s="22">
        <v>0.58155238628387496</v>
      </c>
    </row>
    <row r="249" spans="1:14" x14ac:dyDescent="0.35">
      <c r="A249" s="92"/>
      <c r="B249" s="20" t="s">
        <v>63</v>
      </c>
      <c r="C249" s="21">
        <v>0.33050847457627119</v>
      </c>
      <c r="D249" s="20">
        <v>0.39830508474576271</v>
      </c>
      <c r="E249" s="21">
        <v>0.17796610169491531</v>
      </c>
      <c r="F249" s="20">
        <v>9.3220338983050849E-2</v>
      </c>
      <c r="G249" s="21">
        <v>78</v>
      </c>
      <c r="H249" s="20">
        <v>94</v>
      </c>
      <c r="I249" s="21">
        <v>42</v>
      </c>
      <c r="J249" s="20">
        <v>22</v>
      </c>
      <c r="K249" s="38">
        <v>236</v>
      </c>
      <c r="L249" s="77"/>
      <c r="M249" s="86"/>
      <c r="N249" s="22">
        <v>-8.6206056177616106E-2</v>
      </c>
    </row>
    <row r="250" spans="1:14" x14ac:dyDescent="0.35">
      <c r="A250" s="92"/>
      <c r="B250" s="20" t="s">
        <v>380</v>
      </c>
      <c r="C250" s="21">
        <v>0.70379746835443036</v>
      </c>
      <c r="D250" s="20">
        <v>0.21012658227848099</v>
      </c>
      <c r="E250" s="21">
        <v>5.0632911392405063E-2</v>
      </c>
      <c r="F250" s="20">
        <v>3.5443037974683553E-2</v>
      </c>
      <c r="G250" s="21">
        <v>278</v>
      </c>
      <c r="H250" s="20">
        <v>83</v>
      </c>
      <c r="I250" s="21">
        <v>20</v>
      </c>
      <c r="J250" s="20">
        <v>14</v>
      </c>
      <c r="K250" s="38">
        <v>395</v>
      </c>
      <c r="L250" s="77"/>
      <c r="M250" s="86"/>
      <c r="N250" s="22">
        <v>0.53181362152099598</v>
      </c>
    </row>
    <row r="251" spans="1:14" x14ac:dyDescent="0.35">
      <c r="A251" s="92"/>
      <c r="B251" s="20" t="s">
        <v>11</v>
      </c>
      <c r="C251" s="21">
        <v>0.71252204585537915</v>
      </c>
      <c r="D251" s="20">
        <v>0.16402116402116401</v>
      </c>
      <c r="E251" s="21">
        <v>0.1058201058201058</v>
      </c>
      <c r="F251" s="20">
        <v>1.7636684303350969E-2</v>
      </c>
      <c r="G251" s="21">
        <v>404</v>
      </c>
      <c r="H251" s="20">
        <v>93</v>
      </c>
      <c r="I251" s="21">
        <v>60</v>
      </c>
      <c r="J251" s="20">
        <v>10</v>
      </c>
      <c r="K251" s="38">
        <v>567</v>
      </c>
      <c r="L251" s="77"/>
      <c r="M251" s="86"/>
      <c r="N251" s="22">
        <v>0.66245782375335704</v>
      </c>
    </row>
    <row r="252" spans="1:14" x14ac:dyDescent="0.35">
      <c r="A252" s="92"/>
      <c r="B252" s="20" t="s">
        <v>21</v>
      </c>
      <c r="C252" s="21">
        <v>0.33059210526315791</v>
      </c>
      <c r="D252" s="20">
        <v>0.53618421052631582</v>
      </c>
      <c r="E252" s="21">
        <v>5.5921052631578948E-2</v>
      </c>
      <c r="F252" s="20">
        <v>7.7302631578947373E-2</v>
      </c>
      <c r="G252" s="21">
        <v>201</v>
      </c>
      <c r="H252" s="20">
        <v>326</v>
      </c>
      <c r="I252" s="21">
        <v>34</v>
      </c>
      <c r="J252" s="20">
        <v>47</v>
      </c>
      <c r="K252" s="38">
        <v>608</v>
      </c>
      <c r="L252" s="77"/>
      <c r="M252" s="86"/>
      <c r="N252" s="22">
        <v>0.69728851318359397</v>
      </c>
    </row>
    <row r="253" spans="1:14" ht="16" thickBot="1" x14ac:dyDescent="0.4">
      <c r="A253" s="93"/>
      <c r="B253" s="26" t="s">
        <v>381</v>
      </c>
      <c r="C253" s="27">
        <v>0.57738095238095233</v>
      </c>
      <c r="D253" s="26">
        <v>0.28273809523809518</v>
      </c>
      <c r="E253" s="27">
        <v>0.1041666666666667</v>
      </c>
      <c r="F253" s="26">
        <v>3.5714285714285712E-2</v>
      </c>
      <c r="G253" s="27">
        <v>194</v>
      </c>
      <c r="H253" s="26">
        <v>95</v>
      </c>
      <c r="I253" s="27">
        <v>35</v>
      </c>
      <c r="J253" s="26">
        <v>12</v>
      </c>
      <c r="K253" s="39">
        <v>336</v>
      </c>
      <c r="L253" s="78"/>
      <c r="M253" s="87"/>
      <c r="N253" s="28">
        <v>0.53399300575256303</v>
      </c>
    </row>
    <row r="254" spans="1:14" x14ac:dyDescent="0.35">
      <c r="A254" s="88" t="s">
        <v>417</v>
      </c>
      <c r="B254" s="8" t="s">
        <v>29</v>
      </c>
      <c r="C254" s="9">
        <v>0.2832369942196532</v>
      </c>
      <c r="D254" s="8">
        <v>0.44315992292870898</v>
      </c>
      <c r="E254" s="9">
        <v>0.25433526011560692</v>
      </c>
      <c r="F254" s="8">
        <v>1.926782273603083E-2</v>
      </c>
      <c r="G254" s="9">
        <v>147</v>
      </c>
      <c r="H254" s="8">
        <v>230</v>
      </c>
      <c r="I254" s="9">
        <v>132</v>
      </c>
      <c r="J254" s="8">
        <v>10</v>
      </c>
      <c r="K254" s="34">
        <v>519</v>
      </c>
      <c r="L254" s="79" t="s">
        <v>36</v>
      </c>
      <c r="M254" s="82">
        <v>0.75354796648025502</v>
      </c>
      <c r="N254" s="10">
        <v>-0.91043800115585305</v>
      </c>
    </row>
    <row r="255" spans="1:14" x14ac:dyDescent="0.35">
      <c r="A255" s="89"/>
      <c r="B255" s="11" t="s">
        <v>25</v>
      </c>
      <c r="C255" s="12">
        <v>0.30994152046783618</v>
      </c>
      <c r="D255" s="11">
        <v>0.44444444444444442</v>
      </c>
      <c r="E255" s="12">
        <v>0.24561403508771931</v>
      </c>
      <c r="F255" s="11">
        <v>0</v>
      </c>
      <c r="G255" s="12">
        <v>106</v>
      </c>
      <c r="H255" s="11">
        <v>152</v>
      </c>
      <c r="I255" s="12">
        <v>84</v>
      </c>
      <c r="J255" s="11">
        <v>0</v>
      </c>
      <c r="K255" s="35">
        <v>342</v>
      </c>
      <c r="L255" s="80"/>
      <c r="M255" s="83"/>
      <c r="N255" s="13">
        <v>-0.69287002086639404</v>
      </c>
    </row>
    <row r="256" spans="1:14" x14ac:dyDescent="0.35">
      <c r="A256" s="89"/>
      <c r="B256" s="11" t="s">
        <v>63</v>
      </c>
      <c r="C256" s="12">
        <v>0.25423728813559321</v>
      </c>
      <c r="D256" s="11">
        <v>0.53389830508474578</v>
      </c>
      <c r="E256" s="12">
        <v>0.21186440677966101</v>
      </c>
      <c r="F256" s="11">
        <v>0</v>
      </c>
      <c r="G256" s="12">
        <v>60</v>
      </c>
      <c r="H256" s="11">
        <v>126</v>
      </c>
      <c r="I256" s="12">
        <v>50</v>
      </c>
      <c r="J256" s="11">
        <v>0</v>
      </c>
      <c r="K256" s="35">
        <v>236</v>
      </c>
      <c r="L256" s="80"/>
      <c r="M256" s="83"/>
      <c r="N256" s="13">
        <v>-0.71480274200439498</v>
      </c>
    </row>
    <row r="257" spans="1:14" x14ac:dyDescent="0.35">
      <c r="A257" s="89"/>
      <c r="B257" s="11" t="s">
        <v>380</v>
      </c>
      <c r="C257" s="12">
        <v>0.25063291139240512</v>
      </c>
      <c r="D257" s="11">
        <v>0.50632911392405067</v>
      </c>
      <c r="E257" s="12">
        <v>0.23291139240506331</v>
      </c>
      <c r="F257" s="11">
        <v>1.0126582278481009E-2</v>
      </c>
      <c r="G257" s="12">
        <v>99</v>
      </c>
      <c r="H257" s="11">
        <v>200</v>
      </c>
      <c r="I257" s="12">
        <v>92</v>
      </c>
      <c r="J257" s="11">
        <v>4</v>
      </c>
      <c r="K257" s="35">
        <v>395</v>
      </c>
      <c r="L257" s="80"/>
      <c r="M257" s="83"/>
      <c r="N257" s="13">
        <v>-0.88738220930099498</v>
      </c>
    </row>
    <row r="258" spans="1:14" x14ac:dyDescent="0.35">
      <c r="A258" s="89"/>
      <c r="B258" s="11" t="s">
        <v>11</v>
      </c>
      <c r="C258" s="12">
        <v>0.25044091710758382</v>
      </c>
      <c r="D258" s="11">
        <v>0.47971781305114641</v>
      </c>
      <c r="E258" s="12">
        <v>0.26455026455026448</v>
      </c>
      <c r="F258" s="11">
        <v>5.2910052910052907E-3</v>
      </c>
      <c r="G258" s="12">
        <v>142</v>
      </c>
      <c r="H258" s="11">
        <v>272</v>
      </c>
      <c r="I258" s="12">
        <v>150</v>
      </c>
      <c r="J258" s="11">
        <v>3</v>
      </c>
      <c r="K258" s="35">
        <v>567</v>
      </c>
      <c r="L258" s="80"/>
      <c r="M258" s="83"/>
      <c r="N258" s="13">
        <v>-0.27456882596015902</v>
      </c>
    </row>
    <row r="259" spans="1:14" x14ac:dyDescent="0.35">
      <c r="A259" s="89"/>
      <c r="B259" s="11" t="s">
        <v>21</v>
      </c>
      <c r="C259" s="12">
        <v>0.52960526315789469</v>
      </c>
      <c r="D259" s="11">
        <v>0.28618421052631582</v>
      </c>
      <c r="E259" s="12">
        <v>0.1792763157894737</v>
      </c>
      <c r="F259" s="11">
        <v>4.9342105263157892E-3</v>
      </c>
      <c r="G259" s="12">
        <v>322</v>
      </c>
      <c r="H259" s="11">
        <v>174</v>
      </c>
      <c r="I259" s="12">
        <v>109</v>
      </c>
      <c r="J259" s="11">
        <v>3</v>
      </c>
      <c r="K259" s="35">
        <v>608</v>
      </c>
      <c r="L259" s="80"/>
      <c r="M259" s="83"/>
      <c r="N259" s="13">
        <v>-0.89884036779403698</v>
      </c>
    </row>
    <row r="260" spans="1:14" ht="16" thickBot="1" x14ac:dyDescent="0.4">
      <c r="A260" s="90"/>
      <c r="B260" s="14" t="s">
        <v>381</v>
      </c>
      <c r="C260" s="15">
        <v>0.3392857142857143</v>
      </c>
      <c r="D260" s="14">
        <v>0.35714285714285721</v>
      </c>
      <c r="E260" s="15">
        <v>0.29464285714285721</v>
      </c>
      <c r="F260" s="14">
        <v>8.9285714285714281E-3</v>
      </c>
      <c r="G260" s="15">
        <v>114</v>
      </c>
      <c r="H260" s="14">
        <v>120</v>
      </c>
      <c r="I260" s="15">
        <v>99</v>
      </c>
      <c r="J260" s="14">
        <v>3</v>
      </c>
      <c r="K260" s="36">
        <v>336</v>
      </c>
      <c r="L260" s="81"/>
      <c r="M260" s="84"/>
      <c r="N260" s="16">
        <v>-0.46099761128425598</v>
      </c>
    </row>
    <row r="261" spans="1:14" x14ac:dyDescent="0.35">
      <c r="A261" s="91" t="s">
        <v>418</v>
      </c>
      <c r="B261" s="17" t="s">
        <v>29</v>
      </c>
      <c r="C261" s="18">
        <v>0.24084778420038541</v>
      </c>
      <c r="D261" s="17">
        <v>0.50096339113680155</v>
      </c>
      <c r="E261" s="18">
        <v>0.23892100192678231</v>
      </c>
      <c r="F261" s="17">
        <v>1.926782273603083E-2</v>
      </c>
      <c r="G261" s="18">
        <v>125</v>
      </c>
      <c r="H261" s="17">
        <v>260</v>
      </c>
      <c r="I261" s="18">
        <v>124</v>
      </c>
      <c r="J261" s="17">
        <v>10</v>
      </c>
      <c r="K261" s="37">
        <v>519</v>
      </c>
      <c r="L261" s="76" t="s">
        <v>67</v>
      </c>
      <c r="M261" s="85">
        <v>-0.81921184062957797</v>
      </c>
      <c r="N261" s="19">
        <v>0.48134386539459201</v>
      </c>
    </row>
    <row r="262" spans="1:14" x14ac:dyDescent="0.35">
      <c r="A262" s="92"/>
      <c r="B262" s="20" t="s">
        <v>25</v>
      </c>
      <c r="C262" s="21">
        <v>0.54093567251461994</v>
      </c>
      <c r="D262" s="20">
        <v>0.34210526315789469</v>
      </c>
      <c r="E262" s="21">
        <v>9.6491228070175433E-2</v>
      </c>
      <c r="F262" s="20">
        <v>2.046783625730994E-2</v>
      </c>
      <c r="G262" s="21">
        <v>185</v>
      </c>
      <c r="H262" s="20">
        <v>117</v>
      </c>
      <c r="I262" s="21">
        <v>33</v>
      </c>
      <c r="J262" s="20">
        <v>7</v>
      </c>
      <c r="K262" s="38">
        <v>342</v>
      </c>
      <c r="L262" s="77"/>
      <c r="M262" s="86"/>
      <c r="N262" s="22">
        <v>0.80522036552429199</v>
      </c>
    </row>
    <row r="263" spans="1:14" x14ac:dyDescent="0.35">
      <c r="A263" s="92"/>
      <c r="B263" s="20" t="s">
        <v>63</v>
      </c>
      <c r="C263" s="21">
        <v>0.69915254237288138</v>
      </c>
      <c r="D263" s="20">
        <v>0.21186440677966101</v>
      </c>
      <c r="E263" s="21">
        <v>6.3559322033898302E-2</v>
      </c>
      <c r="F263" s="20">
        <v>2.542372881355932E-2</v>
      </c>
      <c r="G263" s="21">
        <v>165</v>
      </c>
      <c r="H263" s="20">
        <v>50</v>
      </c>
      <c r="I263" s="21">
        <v>15</v>
      </c>
      <c r="J263" s="20">
        <v>6</v>
      </c>
      <c r="K263" s="38">
        <v>236</v>
      </c>
      <c r="L263" s="77"/>
      <c r="M263" s="86"/>
      <c r="N263" s="22">
        <v>0.86669498682022095</v>
      </c>
    </row>
    <row r="264" spans="1:14" x14ac:dyDescent="0.35">
      <c r="A264" s="92"/>
      <c r="B264" s="20" t="s">
        <v>380</v>
      </c>
      <c r="C264" s="21">
        <v>0.53417721518987338</v>
      </c>
      <c r="D264" s="20">
        <v>0.34177215189873422</v>
      </c>
      <c r="E264" s="21">
        <v>0.1088607594936709</v>
      </c>
      <c r="F264" s="20">
        <v>1.518987341772152E-2</v>
      </c>
      <c r="G264" s="21">
        <v>211</v>
      </c>
      <c r="H264" s="20">
        <v>135</v>
      </c>
      <c r="I264" s="21">
        <v>43</v>
      </c>
      <c r="J264" s="20">
        <v>6</v>
      </c>
      <c r="K264" s="38">
        <v>395</v>
      </c>
      <c r="L264" s="77"/>
      <c r="M264" s="86"/>
      <c r="N264" s="22">
        <v>0.54790371656417802</v>
      </c>
    </row>
    <row r="265" spans="1:14" x14ac:dyDescent="0.35">
      <c r="A265" s="92"/>
      <c r="B265" s="20" t="s">
        <v>11</v>
      </c>
      <c r="C265" s="21">
        <v>0.58730158730158732</v>
      </c>
      <c r="D265" s="20">
        <v>0.22045855379188711</v>
      </c>
      <c r="E265" s="21">
        <v>0.17636684303350969</v>
      </c>
      <c r="F265" s="20">
        <v>1.5873015873015869E-2</v>
      </c>
      <c r="G265" s="21">
        <v>333</v>
      </c>
      <c r="H265" s="20">
        <v>125</v>
      </c>
      <c r="I265" s="21">
        <v>100</v>
      </c>
      <c r="J265" s="20">
        <v>9</v>
      </c>
      <c r="K265" s="38">
        <v>567</v>
      </c>
      <c r="L265" s="77"/>
      <c r="M265" s="86"/>
      <c r="N265" s="22">
        <v>0.63172936439514205</v>
      </c>
    </row>
    <row r="266" spans="1:14" x14ac:dyDescent="0.35">
      <c r="A266" s="92"/>
      <c r="B266" s="20" t="s">
        <v>21</v>
      </c>
      <c r="C266" s="21">
        <v>0.38980263157894729</v>
      </c>
      <c r="D266" s="20">
        <v>0.54111842105263153</v>
      </c>
      <c r="E266" s="21">
        <v>3.453947368421053E-2</v>
      </c>
      <c r="F266" s="20">
        <v>3.453947368421053E-2</v>
      </c>
      <c r="G266" s="21">
        <v>237</v>
      </c>
      <c r="H266" s="20">
        <v>329</v>
      </c>
      <c r="I266" s="21">
        <v>21</v>
      </c>
      <c r="J266" s="20">
        <v>21</v>
      </c>
      <c r="K266" s="38">
        <v>608</v>
      </c>
      <c r="L266" s="77"/>
      <c r="M266" s="86"/>
      <c r="N266" s="22">
        <v>0.91210591793060303</v>
      </c>
    </row>
    <row r="267" spans="1:14" ht="16" thickBot="1" x14ac:dyDescent="0.4">
      <c r="A267" s="93"/>
      <c r="B267" s="26" t="s">
        <v>381</v>
      </c>
      <c r="C267" s="27">
        <v>0.625</v>
      </c>
      <c r="D267" s="26">
        <v>0.24702380952380951</v>
      </c>
      <c r="E267" s="27">
        <v>0.1071428571428571</v>
      </c>
      <c r="F267" s="26">
        <v>2.0833333333333329E-2</v>
      </c>
      <c r="G267" s="27">
        <v>210</v>
      </c>
      <c r="H267" s="26">
        <v>83</v>
      </c>
      <c r="I267" s="27">
        <v>36</v>
      </c>
      <c r="J267" s="26">
        <v>7</v>
      </c>
      <c r="K267" s="39">
        <v>336</v>
      </c>
      <c r="L267" s="78"/>
      <c r="M267" s="87"/>
      <c r="N267" s="28">
        <v>0.80749273300170898</v>
      </c>
    </row>
    <row r="268" spans="1:14" x14ac:dyDescent="0.35">
      <c r="A268" s="88" t="s">
        <v>419</v>
      </c>
      <c r="B268" s="8" t="s">
        <v>29</v>
      </c>
      <c r="C268" s="9">
        <v>0.53371868978805392</v>
      </c>
      <c r="D268" s="8">
        <v>0.41811175337186901</v>
      </c>
      <c r="E268" s="9">
        <v>2.504816955684008E-2</v>
      </c>
      <c r="F268" s="8">
        <v>2.312138728323699E-2</v>
      </c>
      <c r="G268" s="9">
        <v>277</v>
      </c>
      <c r="H268" s="8">
        <v>217</v>
      </c>
      <c r="I268" s="9">
        <v>13</v>
      </c>
      <c r="J268" s="8">
        <v>12</v>
      </c>
      <c r="K268" s="34">
        <v>519</v>
      </c>
      <c r="L268" s="79" t="s">
        <v>19</v>
      </c>
      <c r="M268" s="82">
        <v>-0.64923006296157804</v>
      </c>
      <c r="N268" s="10">
        <v>0.54162484407424905</v>
      </c>
    </row>
    <row r="269" spans="1:14" x14ac:dyDescent="0.35">
      <c r="A269" s="89"/>
      <c r="B269" s="11" t="s">
        <v>25</v>
      </c>
      <c r="C269" s="12">
        <v>0.55555555555555558</v>
      </c>
      <c r="D269" s="11">
        <v>0.36549707602339182</v>
      </c>
      <c r="E269" s="12">
        <v>5.2631578947368418E-2</v>
      </c>
      <c r="F269" s="11">
        <v>2.6315789473684209E-2</v>
      </c>
      <c r="G269" s="12">
        <v>190</v>
      </c>
      <c r="H269" s="11">
        <v>125</v>
      </c>
      <c r="I269" s="12">
        <v>18</v>
      </c>
      <c r="J269" s="11">
        <v>9</v>
      </c>
      <c r="K269" s="35">
        <v>342</v>
      </c>
      <c r="L269" s="80"/>
      <c r="M269" s="83"/>
      <c r="N269" s="13">
        <v>0.46033707261085499</v>
      </c>
    </row>
    <row r="270" spans="1:14" x14ac:dyDescent="0.35">
      <c r="A270" s="89"/>
      <c r="B270" s="11" t="s">
        <v>63</v>
      </c>
      <c r="C270" s="12">
        <v>0.57627118644067798</v>
      </c>
      <c r="D270" s="11">
        <v>0.23728813559322029</v>
      </c>
      <c r="E270" s="12">
        <v>0.16101694915254239</v>
      </c>
      <c r="F270" s="11">
        <v>2.542372881355932E-2</v>
      </c>
      <c r="G270" s="12">
        <v>136</v>
      </c>
      <c r="H270" s="11">
        <v>56</v>
      </c>
      <c r="I270" s="12">
        <v>38</v>
      </c>
      <c r="J270" s="11">
        <v>6</v>
      </c>
      <c r="K270" s="35">
        <v>236</v>
      </c>
      <c r="L270" s="80"/>
      <c r="M270" s="83"/>
      <c r="N270" s="13">
        <v>0.12046971172094301</v>
      </c>
    </row>
    <row r="271" spans="1:14" x14ac:dyDescent="0.35">
      <c r="A271" s="89"/>
      <c r="B271" s="11" t="s">
        <v>380</v>
      </c>
      <c r="C271" s="12">
        <v>0.58227848101265822</v>
      </c>
      <c r="D271" s="11">
        <v>0.26075949367088608</v>
      </c>
      <c r="E271" s="12">
        <v>0.1139240506329114</v>
      </c>
      <c r="F271" s="11">
        <v>4.3037974683544297E-2</v>
      </c>
      <c r="G271" s="12">
        <v>230</v>
      </c>
      <c r="H271" s="11">
        <v>103</v>
      </c>
      <c r="I271" s="12">
        <v>45</v>
      </c>
      <c r="J271" s="11">
        <v>17</v>
      </c>
      <c r="K271" s="35">
        <v>395</v>
      </c>
      <c r="L271" s="80"/>
      <c r="M271" s="83"/>
      <c r="N271" s="13">
        <v>0.38523077964782698</v>
      </c>
    </row>
    <row r="272" spans="1:14" x14ac:dyDescent="0.35">
      <c r="A272" s="89"/>
      <c r="B272" s="11" t="s">
        <v>11</v>
      </c>
      <c r="C272" s="12">
        <v>0.80070546737213399</v>
      </c>
      <c r="D272" s="11">
        <v>0.16049382716049379</v>
      </c>
      <c r="E272" s="12">
        <v>1.7636684303350969E-2</v>
      </c>
      <c r="F272" s="11">
        <v>2.1164021164021159E-2</v>
      </c>
      <c r="G272" s="12">
        <v>454</v>
      </c>
      <c r="H272" s="11">
        <v>91</v>
      </c>
      <c r="I272" s="12">
        <v>10</v>
      </c>
      <c r="J272" s="11">
        <v>12</v>
      </c>
      <c r="K272" s="35">
        <v>567</v>
      </c>
      <c r="L272" s="80"/>
      <c r="M272" s="83"/>
      <c r="N272" s="13">
        <v>0.67501986026763905</v>
      </c>
    </row>
    <row r="273" spans="1:14" x14ac:dyDescent="0.35">
      <c r="A273" s="89"/>
      <c r="B273" s="11" t="s">
        <v>21</v>
      </c>
      <c r="C273" s="12">
        <v>0.40460526315789469</v>
      </c>
      <c r="D273" s="11">
        <v>0.51315789473684215</v>
      </c>
      <c r="E273" s="12">
        <v>5.921052631578947E-2</v>
      </c>
      <c r="F273" s="11">
        <v>2.3026315789473679E-2</v>
      </c>
      <c r="G273" s="12">
        <v>246</v>
      </c>
      <c r="H273" s="11">
        <v>312</v>
      </c>
      <c r="I273" s="12">
        <v>36</v>
      </c>
      <c r="J273" s="11">
        <v>14</v>
      </c>
      <c r="K273" s="35">
        <v>608</v>
      </c>
      <c r="L273" s="80"/>
      <c r="M273" s="83"/>
      <c r="N273" s="13">
        <v>0.73045444488525402</v>
      </c>
    </row>
    <row r="274" spans="1:14" ht="16" thickBot="1" x14ac:dyDescent="0.4">
      <c r="A274" s="90"/>
      <c r="B274" s="14" t="s">
        <v>381</v>
      </c>
      <c r="C274" s="15">
        <v>0.75297619047619047</v>
      </c>
      <c r="D274" s="14">
        <v>0.23511904761904759</v>
      </c>
      <c r="E274" s="15">
        <v>0</v>
      </c>
      <c r="F274" s="14">
        <v>1.1904761904761901E-2</v>
      </c>
      <c r="G274" s="15">
        <v>253</v>
      </c>
      <c r="H274" s="14">
        <v>79</v>
      </c>
      <c r="I274" s="15">
        <v>0</v>
      </c>
      <c r="J274" s="14">
        <v>4</v>
      </c>
      <c r="K274" s="36">
        <v>336</v>
      </c>
      <c r="L274" s="81"/>
      <c r="M274" s="84"/>
      <c r="N274" s="16">
        <v>0.643515884876251</v>
      </c>
    </row>
    <row r="275" spans="1:14" x14ac:dyDescent="0.35">
      <c r="A275" s="91" t="s">
        <v>420</v>
      </c>
      <c r="B275" s="17" t="s">
        <v>29</v>
      </c>
      <c r="C275" s="18">
        <v>0.35452793834296731</v>
      </c>
      <c r="D275" s="17">
        <v>0.31984585741811178</v>
      </c>
      <c r="E275" s="18">
        <v>0.28901734104046239</v>
      </c>
      <c r="F275" s="17">
        <v>3.6608863198458567E-2</v>
      </c>
      <c r="G275" s="18">
        <v>184</v>
      </c>
      <c r="H275" s="17">
        <v>166</v>
      </c>
      <c r="I275" s="18">
        <v>150</v>
      </c>
      <c r="J275" s="17">
        <v>19</v>
      </c>
      <c r="K275" s="37">
        <v>519</v>
      </c>
      <c r="L275" s="76" t="s">
        <v>36</v>
      </c>
      <c r="M275" s="85">
        <v>0.50274187326431297</v>
      </c>
      <c r="N275" s="19">
        <v>-0.55992019176483199</v>
      </c>
    </row>
    <row r="276" spans="1:14" x14ac:dyDescent="0.35">
      <c r="A276" s="92"/>
      <c r="B276" s="20" t="s">
        <v>25</v>
      </c>
      <c r="C276" s="21">
        <v>0.3128654970760234</v>
      </c>
      <c r="D276" s="20">
        <v>0.39766081871345033</v>
      </c>
      <c r="E276" s="21">
        <v>0.27777777777777779</v>
      </c>
      <c r="F276" s="20">
        <v>1.1695906432748541E-2</v>
      </c>
      <c r="G276" s="21">
        <v>107</v>
      </c>
      <c r="H276" s="20">
        <v>136</v>
      </c>
      <c r="I276" s="21">
        <v>95</v>
      </c>
      <c r="J276" s="20">
        <v>4</v>
      </c>
      <c r="K276" s="38">
        <v>342</v>
      </c>
      <c r="L276" s="77"/>
      <c r="M276" s="86"/>
      <c r="N276" s="22">
        <v>-0.42254900932312001</v>
      </c>
    </row>
    <row r="277" spans="1:14" x14ac:dyDescent="0.35">
      <c r="A277" s="92"/>
      <c r="B277" s="20" t="s">
        <v>63</v>
      </c>
      <c r="C277" s="21">
        <v>0.22457627118644069</v>
      </c>
      <c r="D277" s="20">
        <v>0.53813559322033899</v>
      </c>
      <c r="E277" s="21">
        <v>0.22033898305084751</v>
      </c>
      <c r="F277" s="20">
        <v>1.6949152542372881E-2</v>
      </c>
      <c r="G277" s="21">
        <v>53</v>
      </c>
      <c r="H277" s="20">
        <v>127</v>
      </c>
      <c r="I277" s="21">
        <v>52</v>
      </c>
      <c r="J277" s="20">
        <v>4</v>
      </c>
      <c r="K277" s="38">
        <v>236</v>
      </c>
      <c r="L277" s="77"/>
      <c r="M277" s="86"/>
      <c r="N277" s="22">
        <v>-0.84157687425613403</v>
      </c>
    </row>
    <row r="278" spans="1:14" x14ac:dyDescent="0.35">
      <c r="A278" s="92"/>
      <c r="B278" s="20" t="s">
        <v>380</v>
      </c>
      <c r="C278" s="21">
        <v>0.3392405063291139</v>
      </c>
      <c r="D278" s="20">
        <v>0.43037974683544311</v>
      </c>
      <c r="E278" s="21">
        <v>0.21265822784810129</v>
      </c>
      <c r="F278" s="20">
        <v>1.7721518987341769E-2</v>
      </c>
      <c r="G278" s="21">
        <v>134</v>
      </c>
      <c r="H278" s="20">
        <v>170</v>
      </c>
      <c r="I278" s="21">
        <v>84</v>
      </c>
      <c r="J278" s="20">
        <v>7</v>
      </c>
      <c r="K278" s="38">
        <v>395</v>
      </c>
      <c r="L278" s="77"/>
      <c r="M278" s="86"/>
      <c r="N278" s="22">
        <v>-0.52681159973144498</v>
      </c>
    </row>
    <row r="279" spans="1:14" x14ac:dyDescent="0.35">
      <c r="A279" s="92"/>
      <c r="B279" s="20" t="s">
        <v>11</v>
      </c>
      <c r="C279" s="21">
        <v>0.3403880070546737</v>
      </c>
      <c r="D279" s="20">
        <v>0.44973544973544971</v>
      </c>
      <c r="E279" s="21">
        <v>0.19753086419753091</v>
      </c>
      <c r="F279" s="20">
        <v>1.234567901234568E-2</v>
      </c>
      <c r="G279" s="21">
        <v>193</v>
      </c>
      <c r="H279" s="20">
        <v>255</v>
      </c>
      <c r="I279" s="21">
        <v>112</v>
      </c>
      <c r="J279" s="20">
        <v>7</v>
      </c>
      <c r="K279" s="38">
        <v>567</v>
      </c>
      <c r="L279" s="77"/>
      <c r="M279" s="86"/>
      <c r="N279" s="22">
        <v>-0.276295185089111</v>
      </c>
    </row>
    <row r="280" spans="1:14" x14ac:dyDescent="0.35">
      <c r="A280" s="92"/>
      <c r="B280" s="20" t="s">
        <v>21</v>
      </c>
      <c r="C280" s="21">
        <v>0.53453947368421051</v>
      </c>
      <c r="D280" s="20">
        <v>0.28289473684210531</v>
      </c>
      <c r="E280" s="21">
        <v>0.1710526315789474</v>
      </c>
      <c r="F280" s="20">
        <v>1.151315789473684E-2</v>
      </c>
      <c r="G280" s="21">
        <v>325</v>
      </c>
      <c r="H280" s="20">
        <v>172</v>
      </c>
      <c r="I280" s="21">
        <v>104</v>
      </c>
      <c r="J280" s="20">
        <v>7</v>
      </c>
      <c r="K280" s="38">
        <v>608</v>
      </c>
      <c r="L280" s="77"/>
      <c r="M280" s="86"/>
      <c r="N280" s="22">
        <v>-0.45310628414154103</v>
      </c>
    </row>
    <row r="281" spans="1:14" ht="16" thickBot="1" x14ac:dyDescent="0.4">
      <c r="A281" s="93"/>
      <c r="B281" s="26" t="s">
        <v>381</v>
      </c>
      <c r="C281" s="27">
        <v>0.30059523809523808</v>
      </c>
      <c r="D281" s="26">
        <v>0.39880952380952378</v>
      </c>
      <c r="E281" s="27">
        <v>0.25892857142857151</v>
      </c>
      <c r="F281" s="26">
        <v>4.1666666666666657E-2</v>
      </c>
      <c r="G281" s="27">
        <v>101</v>
      </c>
      <c r="H281" s="26">
        <v>134</v>
      </c>
      <c r="I281" s="27">
        <v>87</v>
      </c>
      <c r="J281" s="26">
        <v>14</v>
      </c>
      <c r="K281" s="39">
        <v>336</v>
      </c>
      <c r="L281" s="78"/>
      <c r="M281" s="87"/>
      <c r="N281" s="28">
        <v>-0.648168504238129</v>
      </c>
    </row>
    <row r="282" spans="1:14" x14ac:dyDescent="0.35">
      <c r="A282" s="88" t="s">
        <v>421</v>
      </c>
      <c r="B282" s="8" t="s">
        <v>29</v>
      </c>
      <c r="C282" s="9">
        <v>0.53757225433526012</v>
      </c>
      <c r="D282" s="8">
        <v>0.45279383429672448</v>
      </c>
      <c r="E282" s="9">
        <v>0</v>
      </c>
      <c r="F282" s="8">
        <v>9.6339113680154135E-3</v>
      </c>
      <c r="G282" s="9">
        <v>279</v>
      </c>
      <c r="H282" s="8">
        <v>235</v>
      </c>
      <c r="I282" s="9">
        <v>0</v>
      </c>
      <c r="J282" s="8">
        <v>5</v>
      </c>
      <c r="K282" s="34">
        <v>519</v>
      </c>
      <c r="L282" s="79" t="s">
        <v>28</v>
      </c>
      <c r="M282" s="82">
        <v>-0.82543259859085105</v>
      </c>
      <c r="N282" s="10">
        <v>0.59460628032684304</v>
      </c>
    </row>
    <row r="283" spans="1:14" x14ac:dyDescent="0.35">
      <c r="A283" s="89"/>
      <c r="B283" s="11" t="s">
        <v>25</v>
      </c>
      <c r="C283" s="12">
        <v>0.68128654970760238</v>
      </c>
      <c r="D283" s="11">
        <v>0.28947368421052633</v>
      </c>
      <c r="E283" s="12">
        <v>2.9239766081871339E-3</v>
      </c>
      <c r="F283" s="11">
        <v>2.6315789473684209E-2</v>
      </c>
      <c r="G283" s="12">
        <v>233</v>
      </c>
      <c r="H283" s="11">
        <v>99</v>
      </c>
      <c r="I283" s="12">
        <v>1</v>
      </c>
      <c r="J283" s="11">
        <v>9</v>
      </c>
      <c r="K283" s="35">
        <v>342</v>
      </c>
      <c r="L283" s="80"/>
      <c r="M283" s="83"/>
      <c r="N283" s="13">
        <v>0.78703230619430498</v>
      </c>
    </row>
    <row r="284" spans="1:14" x14ac:dyDescent="0.35">
      <c r="A284" s="89"/>
      <c r="B284" s="11" t="s">
        <v>63</v>
      </c>
      <c r="C284" s="12">
        <v>0.67796610169491522</v>
      </c>
      <c r="D284" s="11">
        <v>0.27542372881355931</v>
      </c>
      <c r="E284" s="12">
        <v>3.3898305084745763E-2</v>
      </c>
      <c r="F284" s="11">
        <v>1.271186440677966E-2</v>
      </c>
      <c r="G284" s="12">
        <v>160</v>
      </c>
      <c r="H284" s="11">
        <v>65</v>
      </c>
      <c r="I284" s="12">
        <v>8</v>
      </c>
      <c r="J284" s="11">
        <v>3</v>
      </c>
      <c r="K284" s="35">
        <v>236</v>
      </c>
      <c r="L284" s="80"/>
      <c r="M284" s="83"/>
      <c r="N284" s="13">
        <v>0.223017498850822</v>
      </c>
    </row>
    <row r="285" spans="1:14" x14ac:dyDescent="0.35">
      <c r="A285" s="89"/>
      <c r="B285" s="11" t="s">
        <v>380</v>
      </c>
      <c r="C285" s="12">
        <v>0.8025316455696202</v>
      </c>
      <c r="D285" s="11">
        <v>0.17215189873417719</v>
      </c>
      <c r="E285" s="12">
        <v>1.0126582278481009E-2</v>
      </c>
      <c r="F285" s="11">
        <v>1.518987341772152E-2</v>
      </c>
      <c r="G285" s="12">
        <v>317</v>
      </c>
      <c r="H285" s="11">
        <v>68</v>
      </c>
      <c r="I285" s="12">
        <v>4</v>
      </c>
      <c r="J285" s="11">
        <v>6</v>
      </c>
      <c r="K285" s="35">
        <v>395</v>
      </c>
      <c r="L285" s="80"/>
      <c r="M285" s="83"/>
      <c r="N285" s="13">
        <v>0.71943038702011097</v>
      </c>
    </row>
    <row r="286" spans="1:14" x14ac:dyDescent="0.35">
      <c r="A286" s="89"/>
      <c r="B286" s="11" t="s">
        <v>11</v>
      </c>
      <c r="C286" s="12">
        <v>0.8306878306878307</v>
      </c>
      <c r="D286" s="11">
        <v>0.1534391534391534</v>
      </c>
      <c r="E286" s="12">
        <v>1.7636684303350969E-3</v>
      </c>
      <c r="F286" s="11">
        <v>1.410934744268078E-2</v>
      </c>
      <c r="G286" s="12">
        <v>471</v>
      </c>
      <c r="H286" s="11">
        <v>87</v>
      </c>
      <c r="I286" s="12">
        <v>1</v>
      </c>
      <c r="J286" s="11">
        <v>8</v>
      </c>
      <c r="K286" s="35">
        <v>567</v>
      </c>
      <c r="L286" s="80"/>
      <c r="M286" s="83"/>
      <c r="N286" s="13">
        <v>0.91007626056671098</v>
      </c>
    </row>
    <row r="287" spans="1:14" x14ac:dyDescent="0.35">
      <c r="A287" s="89"/>
      <c r="B287" s="11" t="s">
        <v>21</v>
      </c>
      <c r="C287" s="12">
        <v>0.40625</v>
      </c>
      <c r="D287" s="11">
        <v>0.56578947368421051</v>
      </c>
      <c r="E287" s="12">
        <v>1.973684210526316E-2</v>
      </c>
      <c r="F287" s="11">
        <v>8.2236842105263153E-3</v>
      </c>
      <c r="G287" s="12">
        <v>247</v>
      </c>
      <c r="H287" s="11">
        <v>344</v>
      </c>
      <c r="I287" s="12">
        <v>12</v>
      </c>
      <c r="J287" s="11">
        <v>5</v>
      </c>
      <c r="K287" s="35">
        <v>608</v>
      </c>
      <c r="L287" s="80"/>
      <c r="M287" s="83"/>
      <c r="N287" s="13">
        <v>0.89382672309875499</v>
      </c>
    </row>
    <row r="288" spans="1:14" ht="16" thickBot="1" x14ac:dyDescent="0.4">
      <c r="A288" s="90"/>
      <c r="B288" s="14" t="s">
        <v>381</v>
      </c>
      <c r="C288" s="15">
        <v>0.73809523809523814</v>
      </c>
      <c r="D288" s="14">
        <v>0.25892857142857151</v>
      </c>
      <c r="E288" s="15">
        <v>0</v>
      </c>
      <c r="F288" s="14">
        <v>2.976190476190476E-3</v>
      </c>
      <c r="G288" s="15">
        <v>248</v>
      </c>
      <c r="H288" s="14">
        <v>87</v>
      </c>
      <c r="I288" s="15">
        <v>0</v>
      </c>
      <c r="J288" s="14">
        <v>1</v>
      </c>
      <c r="K288" s="36">
        <v>336</v>
      </c>
      <c r="L288" s="81"/>
      <c r="M288" s="84"/>
      <c r="N288" s="16">
        <v>0.77972388267517101</v>
      </c>
    </row>
    <row r="289" spans="1:14" x14ac:dyDescent="0.35">
      <c r="A289" s="91" t="s">
        <v>422</v>
      </c>
      <c r="B289" s="17" t="s">
        <v>29</v>
      </c>
      <c r="C289" s="18">
        <v>0.60308285163776498</v>
      </c>
      <c r="D289" s="17">
        <v>0.38150289017341038</v>
      </c>
      <c r="E289" s="18">
        <v>0</v>
      </c>
      <c r="F289" s="17">
        <v>1.5414258188824659E-2</v>
      </c>
      <c r="G289" s="18">
        <v>313</v>
      </c>
      <c r="H289" s="17">
        <v>198</v>
      </c>
      <c r="I289" s="18">
        <v>0</v>
      </c>
      <c r="J289" s="17">
        <v>8</v>
      </c>
      <c r="K289" s="37">
        <v>519</v>
      </c>
      <c r="L289" s="76" t="s">
        <v>31</v>
      </c>
      <c r="M289" s="85">
        <v>-0.93459403514862105</v>
      </c>
      <c r="N289" s="19">
        <v>0.90354454517364502</v>
      </c>
    </row>
    <row r="290" spans="1:14" x14ac:dyDescent="0.35">
      <c r="A290" s="92"/>
      <c r="B290" s="20" t="s">
        <v>25</v>
      </c>
      <c r="C290" s="21">
        <v>0.64327485380116955</v>
      </c>
      <c r="D290" s="20">
        <v>0.32748538011695899</v>
      </c>
      <c r="E290" s="21">
        <v>2.9239766081871339E-3</v>
      </c>
      <c r="F290" s="20">
        <v>2.6315789473684209E-2</v>
      </c>
      <c r="G290" s="21">
        <v>220</v>
      </c>
      <c r="H290" s="20">
        <v>112</v>
      </c>
      <c r="I290" s="21">
        <v>1</v>
      </c>
      <c r="J290" s="20">
        <v>9</v>
      </c>
      <c r="K290" s="38">
        <v>342</v>
      </c>
      <c r="L290" s="77"/>
      <c r="M290" s="86"/>
      <c r="N290" s="22">
        <v>0.87271910905838002</v>
      </c>
    </row>
    <row r="291" spans="1:14" x14ac:dyDescent="0.35">
      <c r="A291" s="92"/>
      <c r="B291" s="20" t="s">
        <v>63</v>
      </c>
      <c r="C291" s="21">
        <v>0.77118644067796616</v>
      </c>
      <c r="D291" s="20">
        <v>0.19915254237288141</v>
      </c>
      <c r="E291" s="21">
        <v>4.2372881355932203E-3</v>
      </c>
      <c r="F291" s="20">
        <v>2.542372881355932E-2</v>
      </c>
      <c r="G291" s="21">
        <v>182</v>
      </c>
      <c r="H291" s="20">
        <v>47</v>
      </c>
      <c r="I291" s="21">
        <v>1</v>
      </c>
      <c r="J291" s="20">
        <v>6</v>
      </c>
      <c r="K291" s="38">
        <v>236</v>
      </c>
      <c r="L291" s="77"/>
      <c r="M291" s="86"/>
      <c r="N291" s="22">
        <v>0.586586773395538</v>
      </c>
    </row>
    <row r="292" spans="1:14" x14ac:dyDescent="0.35">
      <c r="A292" s="92"/>
      <c r="B292" s="20" t="s">
        <v>380</v>
      </c>
      <c r="C292" s="21">
        <v>0.77468354430379749</v>
      </c>
      <c r="D292" s="20">
        <v>0.20759493670886081</v>
      </c>
      <c r="E292" s="21">
        <v>0</v>
      </c>
      <c r="F292" s="20">
        <v>1.7721518987341769E-2</v>
      </c>
      <c r="G292" s="21">
        <v>306</v>
      </c>
      <c r="H292" s="20">
        <v>82</v>
      </c>
      <c r="I292" s="21">
        <v>0</v>
      </c>
      <c r="J292" s="20">
        <v>7</v>
      </c>
      <c r="K292" s="38">
        <v>395</v>
      </c>
      <c r="L292" s="77"/>
      <c r="M292" s="86"/>
      <c r="N292" s="22">
        <v>0.89387583732605003</v>
      </c>
    </row>
    <row r="293" spans="1:14" x14ac:dyDescent="0.35">
      <c r="A293" s="92"/>
      <c r="B293" s="20" t="s">
        <v>11</v>
      </c>
      <c r="C293" s="21">
        <v>0.80423280423280419</v>
      </c>
      <c r="D293" s="20">
        <v>0.18342151675485011</v>
      </c>
      <c r="E293" s="21">
        <v>0</v>
      </c>
      <c r="F293" s="20">
        <v>1.234567901234568E-2</v>
      </c>
      <c r="G293" s="21">
        <v>456</v>
      </c>
      <c r="H293" s="20">
        <v>104</v>
      </c>
      <c r="I293" s="21">
        <v>0</v>
      </c>
      <c r="J293" s="20">
        <v>7</v>
      </c>
      <c r="K293" s="38">
        <v>567</v>
      </c>
      <c r="L293" s="77"/>
      <c r="M293" s="86"/>
      <c r="N293" s="22">
        <v>0.77754044532775901</v>
      </c>
    </row>
    <row r="294" spans="1:14" x14ac:dyDescent="0.35">
      <c r="A294" s="92"/>
      <c r="B294" s="20" t="s">
        <v>21</v>
      </c>
      <c r="C294" s="21">
        <v>0.42763157894736842</v>
      </c>
      <c r="D294" s="20">
        <v>0.52302631578947367</v>
      </c>
      <c r="E294" s="21">
        <v>0</v>
      </c>
      <c r="F294" s="20">
        <v>4.9342105263157902E-2</v>
      </c>
      <c r="G294" s="21">
        <v>260</v>
      </c>
      <c r="H294" s="20">
        <v>318</v>
      </c>
      <c r="I294" s="21">
        <v>0</v>
      </c>
      <c r="J294" s="20">
        <v>30</v>
      </c>
      <c r="K294" s="38">
        <v>608</v>
      </c>
      <c r="L294" s="77"/>
      <c r="M294" s="86"/>
      <c r="N294" s="22">
        <v>0.94633471965789795</v>
      </c>
    </row>
    <row r="295" spans="1:14" ht="16" thickBot="1" x14ac:dyDescent="0.4">
      <c r="A295" s="93"/>
      <c r="B295" s="26" t="s">
        <v>381</v>
      </c>
      <c r="C295" s="27">
        <v>0.70238095238095233</v>
      </c>
      <c r="D295" s="26">
        <v>0.27083333333333331</v>
      </c>
      <c r="E295" s="27">
        <v>1.488095238095238E-2</v>
      </c>
      <c r="F295" s="26">
        <v>1.1904761904761901E-2</v>
      </c>
      <c r="G295" s="27">
        <v>236</v>
      </c>
      <c r="H295" s="26">
        <v>91</v>
      </c>
      <c r="I295" s="27">
        <v>5</v>
      </c>
      <c r="J295" s="26">
        <v>4</v>
      </c>
      <c r="K295" s="39">
        <v>336</v>
      </c>
      <c r="L295" s="78"/>
      <c r="M295" s="87"/>
      <c r="N295" s="28">
        <v>0.83571922779083296</v>
      </c>
    </row>
    <row r="296" spans="1:14" x14ac:dyDescent="0.35">
      <c r="A296" s="88" t="s">
        <v>423</v>
      </c>
      <c r="B296" s="8" t="s">
        <v>29</v>
      </c>
      <c r="C296" s="9">
        <v>0.40655105973025052</v>
      </c>
      <c r="D296" s="8">
        <v>0.30828516377649318</v>
      </c>
      <c r="E296" s="9">
        <v>0.20809248554913301</v>
      </c>
      <c r="F296" s="8">
        <v>7.7071290944123308E-2</v>
      </c>
      <c r="G296" s="9">
        <v>211</v>
      </c>
      <c r="H296" s="8">
        <v>160</v>
      </c>
      <c r="I296" s="9">
        <v>108</v>
      </c>
      <c r="J296" s="8">
        <v>40</v>
      </c>
      <c r="K296" s="34">
        <v>519</v>
      </c>
      <c r="L296" s="79" t="s">
        <v>59</v>
      </c>
      <c r="M296" s="82">
        <v>-0.35675919055938698</v>
      </c>
      <c r="N296" s="10">
        <v>0.38559639453887901</v>
      </c>
    </row>
    <row r="297" spans="1:14" x14ac:dyDescent="0.35">
      <c r="A297" s="89"/>
      <c r="B297" s="11" t="s">
        <v>25</v>
      </c>
      <c r="C297" s="12">
        <v>0.37719298245614041</v>
      </c>
      <c r="D297" s="11">
        <v>0.43274853801169588</v>
      </c>
      <c r="E297" s="12">
        <v>9.9415204678362568E-2</v>
      </c>
      <c r="F297" s="11">
        <v>9.0643274853801165E-2</v>
      </c>
      <c r="G297" s="12">
        <v>129</v>
      </c>
      <c r="H297" s="11">
        <v>148</v>
      </c>
      <c r="I297" s="12">
        <v>34</v>
      </c>
      <c r="J297" s="11">
        <v>31</v>
      </c>
      <c r="K297" s="35">
        <v>342</v>
      </c>
      <c r="L297" s="80"/>
      <c r="M297" s="83"/>
      <c r="N297" s="13">
        <v>0.348559230566025</v>
      </c>
    </row>
    <row r="298" spans="1:14" x14ac:dyDescent="0.35">
      <c r="A298" s="89"/>
      <c r="B298" s="11" t="s">
        <v>63</v>
      </c>
      <c r="C298" s="12">
        <v>0.34322033898305082</v>
      </c>
      <c r="D298" s="11">
        <v>0.5</v>
      </c>
      <c r="E298" s="12">
        <v>0.1101694915254237</v>
      </c>
      <c r="F298" s="11">
        <v>4.6610169491525417E-2</v>
      </c>
      <c r="G298" s="12">
        <v>81</v>
      </c>
      <c r="H298" s="11">
        <v>118</v>
      </c>
      <c r="I298" s="12">
        <v>26</v>
      </c>
      <c r="J298" s="11">
        <v>11</v>
      </c>
      <c r="K298" s="35">
        <v>236</v>
      </c>
      <c r="L298" s="80"/>
      <c r="M298" s="83"/>
      <c r="N298" s="13">
        <v>-0.17997758090496099</v>
      </c>
    </row>
    <row r="299" spans="1:14" x14ac:dyDescent="0.35">
      <c r="A299" s="89"/>
      <c r="B299" s="11" t="s">
        <v>380</v>
      </c>
      <c r="C299" s="12">
        <v>0.54177215189873418</v>
      </c>
      <c r="D299" s="11">
        <v>0.36708860759493672</v>
      </c>
      <c r="E299" s="12">
        <v>7.5949367088607597E-2</v>
      </c>
      <c r="F299" s="11">
        <v>1.518987341772152E-2</v>
      </c>
      <c r="G299" s="12">
        <v>214</v>
      </c>
      <c r="H299" s="11">
        <v>145</v>
      </c>
      <c r="I299" s="12">
        <v>30</v>
      </c>
      <c r="J299" s="11">
        <v>6</v>
      </c>
      <c r="K299" s="35">
        <v>395</v>
      </c>
      <c r="L299" s="80"/>
      <c r="M299" s="83"/>
      <c r="N299" s="13">
        <v>0.25299185514450101</v>
      </c>
    </row>
    <row r="300" spans="1:14" x14ac:dyDescent="0.35">
      <c r="A300" s="89"/>
      <c r="B300" s="11" t="s">
        <v>11</v>
      </c>
      <c r="C300" s="12">
        <v>0.64550264550264547</v>
      </c>
      <c r="D300" s="11">
        <v>0.25573192239858911</v>
      </c>
      <c r="E300" s="12">
        <v>8.2892416225749554E-2</v>
      </c>
      <c r="F300" s="11">
        <v>1.5873015873015869E-2</v>
      </c>
      <c r="G300" s="12">
        <v>366</v>
      </c>
      <c r="H300" s="11">
        <v>145</v>
      </c>
      <c r="I300" s="12">
        <v>47</v>
      </c>
      <c r="J300" s="11">
        <v>9</v>
      </c>
      <c r="K300" s="35">
        <v>567</v>
      </c>
      <c r="L300" s="80"/>
      <c r="M300" s="83"/>
      <c r="N300" s="13">
        <v>0.42985084652900701</v>
      </c>
    </row>
    <row r="301" spans="1:14" x14ac:dyDescent="0.35">
      <c r="A301" s="89"/>
      <c r="B301" s="11" t="s">
        <v>21</v>
      </c>
      <c r="C301" s="12">
        <v>0.31907894736842107</v>
      </c>
      <c r="D301" s="11">
        <v>0.54276315789473684</v>
      </c>
      <c r="E301" s="12">
        <v>6.7434210526315791E-2</v>
      </c>
      <c r="F301" s="11">
        <v>7.0723684210526314E-2</v>
      </c>
      <c r="G301" s="12">
        <v>194</v>
      </c>
      <c r="H301" s="11">
        <v>330</v>
      </c>
      <c r="I301" s="12">
        <v>41</v>
      </c>
      <c r="J301" s="11">
        <v>43</v>
      </c>
      <c r="K301" s="35">
        <v>608</v>
      </c>
      <c r="L301" s="80"/>
      <c r="M301" s="83"/>
      <c r="N301" s="13">
        <v>0.463251322507858</v>
      </c>
    </row>
    <row r="302" spans="1:14" ht="16" thickBot="1" x14ac:dyDescent="0.4">
      <c r="A302" s="90"/>
      <c r="B302" s="14" t="s">
        <v>381</v>
      </c>
      <c r="C302" s="15">
        <v>0.29761904761904762</v>
      </c>
      <c r="D302" s="14">
        <v>0.53869047619047616</v>
      </c>
      <c r="E302" s="15">
        <v>0.13988095238095241</v>
      </c>
      <c r="F302" s="14">
        <v>2.3809523809523812E-2</v>
      </c>
      <c r="G302" s="15">
        <v>100</v>
      </c>
      <c r="H302" s="14">
        <v>181</v>
      </c>
      <c r="I302" s="15">
        <v>47</v>
      </c>
      <c r="J302" s="14">
        <v>8</v>
      </c>
      <c r="K302" s="36">
        <v>336</v>
      </c>
      <c r="L302" s="81"/>
      <c r="M302" s="84"/>
      <c r="N302" s="16">
        <v>3.2613247632980298E-2</v>
      </c>
    </row>
    <row r="303" spans="1:14" x14ac:dyDescent="0.35">
      <c r="A303" s="91" t="s">
        <v>424</v>
      </c>
      <c r="B303" s="17" t="s">
        <v>29</v>
      </c>
      <c r="C303" s="18">
        <v>0.53757225433526012</v>
      </c>
      <c r="D303" s="17">
        <v>0.37957610789980728</v>
      </c>
      <c r="E303" s="18">
        <v>2.312138728323699E-2</v>
      </c>
      <c r="F303" s="17">
        <v>5.9730250481695571E-2</v>
      </c>
      <c r="G303" s="18">
        <v>279</v>
      </c>
      <c r="H303" s="17">
        <v>197</v>
      </c>
      <c r="I303" s="18">
        <v>12</v>
      </c>
      <c r="J303" s="17">
        <v>31</v>
      </c>
      <c r="K303" s="37">
        <v>519</v>
      </c>
      <c r="L303" s="76" t="s">
        <v>53</v>
      </c>
      <c r="M303" s="85">
        <v>-0.89836901426315297</v>
      </c>
      <c r="N303" s="19">
        <v>0.69771534204482999</v>
      </c>
    </row>
    <row r="304" spans="1:14" x14ac:dyDescent="0.35">
      <c r="A304" s="92"/>
      <c r="B304" s="20" t="s">
        <v>25</v>
      </c>
      <c r="C304" s="21">
        <v>0.6900584795321637</v>
      </c>
      <c r="D304" s="20">
        <v>0.27485380116959057</v>
      </c>
      <c r="E304" s="21">
        <v>2.3391812865497071E-2</v>
      </c>
      <c r="F304" s="20">
        <v>1.1695906432748541E-2</v>
      </c>
      <c r="G304" s="21">
        <v>236</v>
      </c>
      <c r="H304" s="20">
        <v>94</v>
      </c>
      <c r="I304" s="21">
        <v>8</v>
      </c>
      <c r="J304" s="20">
        <v>4</v>
      </c>
      <c r="K304" s="38">
        <v>342</v>
      </c>
      <c r="L304" s="77"/>
      <c r="M304" s="86"/>
      <c r="N304" s="22">
        <v>0.88608652353286699</v>
      </c>
    </row>
    <row r="305" spans="1:14" x14ac:dyDescent="0.35">
      <c r="A305" s="92"/>
      <c r="B305" s="20" t="s">
        <v>63</v>
      </c>
      <c r="C305" s="21">
        <v>0.69067796610169496</v>
      </c>
      <c r="D305" s="20">
        <v>0.13559322033898311</v>
      </c>
      <c r="E305" s="21">
        <v>4.6610169491525417E-2</v>
      </c>
      <c r="F305" s="20">
        <v>0.1271186440677966</v>
      </c>
      <c r="G305" s="21">
        <v>163</v>
      </c>
      <c r="H305" s="20">
        <v>32</v>
      </c>
      <c r="I305" s="21">
        <v>11</v>
      </c>
      <c r="J305" s="20">
        <v>30</v>
      </c>
      <c r="K305" s="38">
        <v>236</v>
      </c>
      <c r="L305" s="77"/>
      <c r="M305" s="86"/>
      <c r="N305" s="22">
        <v>0.95609802007675204</v>
      </c>
    </row>
    <row r="306" spans="1:14" x14ac:dyDescent="0.35">
      <c r="A306" s="92"/>
      <c r="B306" s="20" t="s">
        <v>380</v>
      </c>
      <c r="C306" s="21">
        <v>0.78481012658227844</v>
      </c>
      <c r="D306" s="20">
        <v>0.18481012658227849</v>
      </c>
      <c r="E306" s="21">
        <v>2.5316455696202531E-2</v>
      </c>
      <c r="F306" s="20">
        <v>5.0632911392405064E-3</v>
      </c>
      <c r="G306" s="21">
        <v>310</v>
      </c>
      <c r="H306" s="20">
        <v>73</v>
      </c>
      <c r="I306" s="21">
        <v>10</v>
      </c>
      <c r="J306" s="20">
        <v>2</v>
      </c>
      <c r="K306" s="38">
        <v>395</v>
      </c>
      <c r="L306" s="77"/>
      <c r="M306" s="86"/>
      <c r="N306" s="22">
        <v>0.897250115871429</v>
      </c>
    </row>
    <row r="307" spans="1:14" x14ac:dyDescent="0.35">
      <c r="A307" s="92"/>
      <c r="B307" s="20" t="s">
        <v>11</v>
      </c>
      <c r="C307" s="21">
        <v>0.66137566137566139</v>
      </c>
      <c r="D307" s="20">
        <v>0.16754850088183421</v>
      </c>
      <c r="E307" s="21">
        <v>7.0546737213403876E-3</v>
      </c>
      <c r="F307" s="20">
        <v>0.16402116402116401</v>
      </c>
      <c r="G307" s="21">
        <v>375</v>
      </c>
      <c r="H307" s="20">
        <v>95</v>
      </c>
      <c r="I307" s="21">
        <v>4</v>
      </c>
      <c r="J307" s="20">
        <v>93</v>
      </c>
      <c r="K307" s="38">
        <v>567</v>
      </c>
      <c r="L307" s="77"/>
      <c r="M307" s="86"/>
      <c r="N307" s="22">
        <v>0.77155035734176602</v>
      </c>
    </row>
    <row r="308" spans="1:14" x14ac:dyDescent="0.35">
      <c r="A308" s="92"/>
      <c r="B308" s="20" t="s">
        <v>21</v>
      </c>
      <c r="C308" s="21">
        <v>0.36019736842105271</v>
      </c>
      <c r="D308" s="20">
        <v>0.47532894736842107</v>
      </c>
      <c r="E308" s="21">
        <v>1.151315789473684E-2</v>
      </c>
      <c r="F308" s="20">
        <v>0.15296052631578949</v>
      </c>
      <c r="G308" s="21">
        <v>219</v>
      </c>
      <c r="H308" s="20">
        <v>289</v>
      </c>
      <c r="I308" s="21">
        <v>7</v>
      </c>
      <c r="J308" s="20">
        <v>93</v>
      </c>
      <c r="K308" s="38">
        <v>608</v>
      </c>
      <c r="L308" s="77"/>
      <c r="M308" s="86"/>
      <c r="N308" s="22">
        <v>0.86452031135559104</v>
      </c>
    </row>
    <row r="309" spans="1:14" ht="16" thickBot="1" x14ac:dyDescent="0.4">
      <c r="A309" s="93"/>
      <c r="B309" s="26" t="s">
        <v>381</v>
      </c>
      <c r="C309" s="27">
        <v>0.68154761904761907</v>
      </c>
      <c r="D309" s="26">
        <v>0.24702380952380951</v>
      </c>
      <c r="E309" s="27">
        <v>5.9523809523809521E-2</v>
      </c>
      <c r="F309" s="26">
        <v>1.1904761904761901E-2</v>
      </c>
      <c r="G309" s="27">
        <v>229</v>
      </c>
      <c r="H309" s="26">
        <v>83</v>
      </c>
      <c r="I309" s="27">
        <v>20</v>
      </c>
      <c r="J309" s="26">
        <v>4</v>
      </c>
      <c r="K309" s="39">
        <v>336</v>
      </c>
      <c r="L309" s="78"/>
      <c r="M309" s="87"/>
      <c r="N309" s="28">
        <v>0.82975780963897705</v>
      </c>
    </row>
    <row r="310" spans="1:14" x14ac:dyDescent="0.35">
      <c r="A310" s="88" t="s">
        <v>425</v>
      </c>
      <c r="B310" s="8" t="s">
        <v>29</v>
      </c>
      <c r="C310" s="9">
        <v>0.43930635838150289</v>
      </c>
      <c r="D310" s="8">
        <v>0.22543352601156069</v>
      </c>
      <c r="E310" s="9">
        <v>0.2813102119460501</v>
      </c>
      <c r="F310" s="8">
        <v>5.3949903660886318E-2</v>
      </c>
      <c r="G310" s="9">
        <v>228</v>
      </c>
      <c r="H310" s="8">
        <v>117</v>
      </c>
      <c r="I310" s="9">
        <v>146</v>
      </c>
      <c r="J310" s="8">
        <v>28</v>
      </c>
      <c r="K310" s="34">
        <v>519</v>
      </c>
      <c r="L310" s="79" t="s">
        <v>59</v>
      </c>
      <c r="M310" s="82">
        <v>-0.39776512980461098</v>
      </c>
      <c r="N310" s="10">
        <v>0.50329136848449696</v>
      </c>
    </row>
    <row r="311" spans="1:14" x14ac:dyDescent="0.35">
      <c r="A311" s="89"/>
      <c r="B311" s="11" t="s">
        <v>25</v>
      </c>
      <c r="C311" s="12">
        <v>0.41520467836257308</v>
      </c>
      <c r="D311" s="11">
        <v>0.32456140350877188</v>
      </c>
      <c r="E311" s="12">
        <v>0.25146198830409361</v>
      </c>
      <c r="F311" s="11">
        <v>8.771929824561403E-3</v>
      </c>
      <c r="G311" s="12">
        <v>142</v>
      </c>
      <c r="H311" s="11">
        <v>111</v>
      </c>
      <c r="I311" s="12">
        <v>86</v>
      </c>
      <c r="J311" s="11">
        <v>3</v>
      </c>
      <c r="K311" s="35">
        <v>342</v>
      </c>
      <c r="L311" s="80"/>
      <c r="M311" s="83"/>
      <c r="N311" s="13">
        <v>0.41587924957275402</v>
      </c>
    </row>
    <row r="312" spans="1:14" x14ac:dyDescent="0.35">
      <c r="A312" s="89"/>
      <c r="B312" s="11" t="s">
        <v>63</v>
      </c>
      <c r="C312" s="12">
        <v>0.36440677966101692</v>
      </c>
      <c r="D312" s="11">
        <v>0.29661016949152541</v>
      </c>
      <c r="E312" s="12">
        <v>0.3135593220338983</v>
      </c>
      <c r="F312" s="11">
        <v>2.542372881355932E-2</v>
      </c>
      <c r="G312" s="12">
        <v>86</v>
      </c>
      <c r="H312" s="11">
        <v>70</v>
      </c>
      <c r="I312" s="12">
        <v>74</v>
      </c>
      <c r="J312" s="11">
        <v>6</v>
      </c>
      <c r="K312" s="35">
        <v>236</v>
      </c>
      <c r="L312" s="80"/>
      <c r="M312" s="83"/>
      <c r="N312" s="13">
        <v>-0.13515290617942799</v>
      </c>
    </row>
    <row r="313" spans="1:14" x14ac:dyDescent="0.35">
      <c r="A313" s="89"/>
      <c r="B313" s="11" t="s">
        <v>380</v>
      </c>
      <c r="C313" s="12">
        <v>0.47848101265822779</v>
      </c>
      <c r="D313" s="11">
        <v>0.25822784810126581</v>
      </c>
      <c r="E313" s="12">
        <v>0.17468354430379751</v>
      </c>
      <c r="F313" s="11">
        <v>8.8607594936708861E-2</v>
      </c>
      <c r="G313" s="12">
        <v>189</v>
      </c>
      <c r="H313" s="11">
        <v>102</v>
      </c>
      <c r="I313" s="12">
        <v>69</v>
      </c>
      <c r="J313" s="11">
        <v>35</v>
      </c>
      <c r="K313" s="35">
        <v>395</v>
      </c>
      <c r="L313" s="80"/>
      <c r="M313" s="83"/>
      <c r="N313" s="13">
        <v>0.30126816034317</v>
      </c>
    </row>
    <row r="314" spans="1:14" x14ac:dyDescent="0.35">
      <c r="A314" s="89"/>
      <c r="B314" s="11" t="s">
        <v>11</v>
      </c>
      <c r="C314" s="12">
        <v>0.56084656084656082</v>
      </c>
      <c r="D314" s="11">
        <v>0.26278659611992938</v>
      </c>
      <c r="E314" s="12">
        <v>0.13932980599647271</v>
      </c>
      <c r="F314" s="11">
        <v>3.7037037037037028E-2</v>
      </c>
      <c r="G314" s="12">
        <v>318</v>
      </c>
      <c r="H314" s="11">
        <v>149</v>
      </c>
      <c r="I314" s="12">
        <v>79</v>
      </c>
      <c r="J314" s="11">
        <v>21</v>
      </c>
      <c r="K314" s="35">
        <v>567</v>
      </c>
      <c r="L314" s="80"/>
      <c r="M314" s="83"/>
      <c r="N314" s="13">
        <v>0.36122730374336198</v>
      </c>
    </row>
    <row r="315" spans="1:14" x14ac:dyDescent="0.35">
      <c r="A315" s="89"/>
      <c r="B315" s="11" t="s">
        <v>21</v>
      </c>
      <c r="C315" s="12">
        <v>0.32730263157894729</v>
      </c>
      <c r="D315" s="11">
        <v>0.46710526315789469</v>
      </c>
      <c r="E315" s="12">
        <v>0.12171052631578951</v>
      </c>
      <c r="F315" s="11">
        <v>8.3881578947368418E-2</v>
      </c>
      <c r="G315" s="12">
        <v>199</v>
      </c>
      <c r="H315" s="11">
        <v>284</v>
      </c>
      <c r="I315" s="12">
        <v>74</v>
      </c>
      <c r="J315" s="11">
        <v>51</v>
      </c>
      <c r="K315" s="35">
        <v>608</v>
      </c>
      <c r="L315" s="80"/>
      <c r="M315" s="83"/>
      <c r="N315" s="13">
        <v>0.53439754247665405</v>
      </c>
    </row>
    <row r="316" spans="1:14" ht="16" thickBot="1" x14ac:dyDescent="0.4">
      <c r="A316" s="90"/>
      <c r="B316" s="14" t="s">
        <v>381</v>
      </c>
      <c r="C316" s="15">
        <v>0.32142857142857151</v>
      </c>
      <c r="D316" s="14">
        <v>0.39583333333333331</v>
      </c>
      <c r="E316" s="15">
        <v>0.23809523809523811</v>
      </c>
      <c r="F316" s="14">
        <v>4.4642857142857137E-2</v>
      </c>
      <c r="G316" s="15">
        <v>108</v>
      </c>
      <c r="H316" s="14">
        <v>133</v>
      </c>
      <c r="I316" s="15">
        <v>80</v>
      </c>
      <c r="J316" s="14">
        <v>15</v>
      </c>
      <c r="K316" s="36">
        <v>336</v>
      </c>
      <c r="L316" s="81"/>
      <c r="M316" s="84"/>
      <c r="N316" s="16">
        <v>0.104706391692162</v>
      </c>
    </row>
    <row r="317" spans="1:14" x14ac:dyDescent="0.35">
      <c r="A317" s="91" t="s">
        <v>426</v>
      </c>
      <c r="B317" s="17" t="s">
        <v>29</v>
      </c>
      <c r="C317" s="18">
        <v>0.4951830443159923</v>
      </c>
      <c r="D317" s="17">
        <v>0.43930635838150289</v>
      </c>
      <c r="E317" s="18">
        <v>1.15606936416185E-2</v>
      </c>
      <c r="F317" s="17">
        <v>5.3949903660886318E-2</v>
      </c>
      <c r="G317" s="18">
        <v>257</v>
      </c>
      <c r="H317" s="17">
        <v>228</v>
      </c>
      <c r="I317" s="18">
        <v>6</v>
      </c>
      <c r="J317" s="17">
        <v>28</v>
      </c>
      <c r="K317" s="37">
        <v>519</v>
      </c>
      <c r="L317" s="76" t="s">
        <v>19</v>
      </c>
      <c r="M317" s="85">
        <v>-0.74160397052764904</v>
      </c>
      <c r="N317" s="19">
        <v>0.568545162677765</v>
      </c>
    </row>
    <row r="318" spans="1:14" x14ac:dyDescent="0.35">
      <c r="A318" s="92"/>
      <c r="B318" s="20" t="s">
        <v>25</v>
      </c>
      <c r="C318" s="21">
        <v>0.63742690058479534</v>
      </c>
      <c r="D318" s="20">
        <v>0.29239766081871338</v>
      </c>
      <c r="E318" s="21">
        <v>4.0935672514619881E-2</v>
      </c>
      <c r="F318" s="20">
        <v>2.923976608187134E-2</v>
      </c>
      <c r="G318" s="21">
        <v>218</v>
      </c>
      <c r="H318" s="20">
        <v>100</v>
      </c>
      <c r="I318" s="21">
        <v>14</v>
      </c>
      <c r="J318" s="20">
        <v>10</v>
      </c>
      <c r="K318" s="38">
        <v>342</v>
      </c>
      <c r="L318" s="77"/>
      <c r="M318" s="86"/>
      <c r="N318" s="22">
        <v>0.69699293375015303</v>
      </c>
    </row>
    <row r="319" spans="1:14" x14ac:dyDescent="0.35">
      <c r="A319" s="92"/>
      <c r="B319" s="20" t="s">
        <v>63</v>
      </c>
      <c r="C319" s="21">
        <v>0.67372881355932202</v>
      </c>
      <c r="D319" s="20">
        <v>0.20338983050847459</v>
      </c>
      <c r="E319" s="21">
        <v>0.1186440677966102</v>
      </c>
      <c r="F319" s="20">
        <v>4.2372881355932203E-3</v>
      </c>
      <c r="G319" s="21">
        <v>159</v>
      </c>
      <c r="H319" s="20">
        <v>48</v>
      </c>
      <c r="I319" s="21">
        <v>28</v>
      </c>
      <c r="J319" s="20">
        <v>1</v>
      </c>
      <c r="K319" s="38">
        <v>236</v>
      </c>
      <c r="L319" s="77"/>
      <c r="M319" s="86"/>
      <c r="N319" s="22">
        <v>0.41725373268127403</v>
      </c>
    </row>
    <row r="320" spans="1:14" x14ac:dyDescent="0.35">
      <c r="A320" s="92"/>
      <c r="B320" s="20" t="s">
        <v>380</v>
      </c>
      <c r="C320" s="21">
        <v>0.68860759493670887</v>
      </c>
      <c r="D320" s="20">
        <v>0.18481012658227849</v>
      </c>
      <c r="E320" s="21">
        <v>1.0126582278481009E-2</v>
      </c>
      <c r="F320" s="20">
        <v>0.1164556962025316</v>
      </c>
      <c r="G320" s="21">
        <v>272</v>
      </c>
      <c r="H320" s="20">
        <v>73</v>
      </c>
      <c r="I320" s="21">
        <v>4</v>
      </c>
      <c r="J320" s="20">
        <v>46</v>
      </c>
      <c r="K320" s="38">
        <v>395</v>
      </c>
      <c r="L320" s="77"/>
      <c r="M320" s="86"/>
      <c r="N320" s="22">
        <v>0.62737649679184004</v>
      </c>
    </row>
    <row r="321" spans="1:14" x14ac:dyDescent="0.35">
      <c r="A321" s="92"/>
      <c r="B321" s="20" t="s">
        <v>11</v>
      </c>
      <c r="C321" s="21">
        <v>0.76014109347442682</v>
      </c>
      <c r="D321" s="20">
        <v>0.16754850088183421</v>
      </c>
      <c r="E321" s="21">
        <v>1.234567901234568E-2</v>
      </c>
      <c r="F321" s="20">
        <v>5.9964726631393288E-2</v>
      </c>
      <c r="G321" s="21">
        <v>431</v>
      </c>
      <c r="H321" s="20">
        <v>95</v>
      </c>
      <c r="I321" s="21">
        <v>7</v>
      </c>
      <c r="J321" s="20">
        <v>34</v>
      </c>
      <c r="K321" s="38">
        <v>567</v>
      </c>
      <c r="L321" s="77"/>
      <c r="M321" s="86"/>
      <c r="N321" s="22">
        <v>0.64013773202896096</v>
      </c>
    </row>
    <row r="322" spans="1:14" x14ac:dyDescent="0.35">
      <c r="A322" s="92"/>
      <c r="B322" s="20" t="s">
        <v>21</v>
      </c>
      <c r="C322" s="21">
        <v>0.41611842105263158</v>
      </c>
      <c r="D322" s="20">
        <v>0.54769736842105265</v>
      </c>
      <c r="E322" s="21">
        <v>2.6315789473684209E-2</v>
      </c>
      <c r="F322" s="20">
        <v>9.8684210526315784E-3</v>
      </c>
      <c r="G322" s="21">
        <v>253</v>
      </c>
      <c r="H322" s="20">
        <v>333</v>
      </c>
      <c r="I322" s="21">
        <v>16</v>
      </c>
      <c r="J322" s="20">
        <v>6</v>
      </c>
      <c r="K322" s="38">
        <v>608</v>
      </c>
      <c r="L322" s="77"/>
      <c r="M322" s="86"/>
      <c r="N322" s="22">
        <v>0.69354891777038596</v>
      </c>
    </row>
    <row r="323" spans="1:14" ht="16" thickBot="1" x14ac:dyDescent="0.4">
      <c r="A323" s="93"/>
      <c r="B323" s="26" t="s">
        <v>381</v>
      </c>
      <c r="C323" s="27">
        <v>0.7142857142857143</v>
      </c>
      <c r="D323" s="26">
        <v>0.25</v>
      </c>
      <c r="E323" s="27">
        <v>5.9523809523809521E-3</v>
      </c>
      <c r="F323" s="26">
        <v>2.976190476190476E-2</v>
      </c>
      <c r="G323" s="27">
        <v>240</v>
      </c>
      <c r="H323" s="26">
        <v>84</v>
      </c>
      <c r="I323" s="27">
        <v>2</v>
      </c>
      <c r="J323" s="26">
        <v>10</v>
      </c>
      <c r="K323" s="39">
        <v>336</v>
      </c>
      <c r="L323" s="78"/>
      <c r="M323" s="87"/>
      <c r="N323" s="28">
        <v>0.73995006084442105</v>
      </c>
    </row>
    <row r="324" spans="1:14" x14ac:dyDescent="0.35">
      <c r="A324" s="88" t="s">
        <v>427</v>
      </c>
      <c r="B324" s="8" t="s">
        <v>29</v>
      </c>
      <c r="C324" s="9">
        <v>0.46242774566473988</v>
      </c>
      <c r="D324" s="8">
        <v>0.4238921001926782</v>
      </c>
      <c r="E324" s="9">
        <v>3.0828516377649329E-2</v>
      </c>
      <c r="F324" s="8">
        <v>8.2851637764932567E-2</v>
      </c>
      <c r="G324" s="9">
        <v>240</v>
      </c>
      <c r="H324" s="8">
        <v>220</v>
      </c>
      <c r="I324" s="9">
        <v>16</v>
      </c>
      <c r="J324" s="8">
        <v>43</v>
      </c>
      <c r="K324" s="34">
        <v>519</v>
      </c>
      <c r="L324" s="79" t="s">
        <v>44</v>
      </c>
      <c r="M324" s="82">
        <v>-0.51446425914764404</v>
      </c>
      <c r="N324" s="10">
        <v>0.43560627102851901</v>
      </c>
    </row>
    <row r="325" spans="1:14" x14ac:dyDescent="0.35">
      <c r="A325" s="89"/>
      <c r="B325" s="11" t="s">
        <v>25</v>
      </c>
      <c r="C325" s="12">
        <v>0.5</v>
      </c>
      <c r="D325" s="11">
        <v>0.44736842105263158</v>
      </c>
      <c r="E325" s="12">
        <v>3.2163742690058478E-2</v>
      </c>
      <c r="F325" s="11">
        <v>2.046783625730994E-2</v>
      </c>
      <c r="G325" s="12">
        <v>171</v>
      </c>
      <c r="H325" s="11">
        <v>153</v>
      </c>
      <c r="I325" s="12">
        <v>11</v>
      </c>
      <c r="J325" s="11">
        <v>7</v>
      </c>
      <c r="K325" s="35">
        <v>342</v>
      </c>
      <c r="L325" s="80"/>
      <c r="M325" s="83"/>
      <c r="N325" s="13">
        <v>0.46700173616409302</v>
      </c>
    </row>
    <row r="326" spans="1:14" x14ac:dyDescent="0.35">
      <c r="A326" s="89"/>
      <c r="B326" s="11" t="s">
        <v>63</v>
      </c>
      <c r="C326" s="12">
        <v>0.24152542372881361</v>
      </c>
      <c r="D326" s="11">
        <v>0.63135593220338981</v>
      </c>
      <c r="E326" s="12">
        <v>0.10169491525423729</v>
      </c>
      <c r="F326" s="11">
        <v>2.542372881355932E-2</v>
      </c>
      <c r="G326" s="12">
        <v>57</v>
      </c>
      <c r="H326" s="11">
        <v>149</v>
      </c>
      <c r="I326" s="12">
        <v>24</v>
      </c>
      <c r="J326" s="11">
        <v>6</v>
      </c>
      <c r="K326" s="35">
        <v>236</v>
      </c>
      <c r="L326" s="80"/>
      <c r="M326" s="83"/>
      <c r="N326" s="13">
        <v>-0.27859589457511902</v>
      </c>
    </row>
    <row r="327" spans="1:14" x14ac:dyDescent="0.35">
      <c r="A327" s="89"/>
      <c r="B327" s="11" t="s">
        <v>380</v>
      </c>
      <c r="C327" s="12">
        <v>0.57721518987341769</v>
      </c>
      <c r="D327" s="11">
        <v>0.24303797468354429</v>
      </c>
      <c r="E327" s="12">
        <v>4.0506329113924051E-2</v>
      </c>
      <c r="F327" s="11">
        <v>0.13924050632911389</v>
      </c>
      <c r="G327" s="12">
        <v>228</v>
      </c>
      <c r="H327" s="11">
        <v>96</v>
      </c>
      <c r="I327" s="12">
        <v>16</v>
      </c>
      <c r="J327" s="11">
        <v>55</v>
      </c>
      <c r="K327" s="35">
        <v>395</v>
      </c>
      <c r="L327" s="80"/>
      <c r="M327" s="83"/>
      <c r="N327" s="13">
        <v>0.45056605339050299</v>
      </c>
    </row>
    <row r="328" spans="1:14" x14ac:dyDescent="0.35">
      <c r="A328" s="89"/>
      <c r="B328" s="11" t="s">
        <v>11</v>
      </c>
      <c r="C328" s="12">
        <v>0.69135802469135799</v>
      </c>
      <c r="D328" s="11">
        <v>0.19929453262786601</v>
      </c>
      <c r="E328" s="12">
        <v>9.700176366843033E-2</v>
      </c>
      <c r="F328" s="11">
        <v>1.234567901234568E-2</v>
      </c>
      <c r="G328" s="12">
        <v>392</v>
      </c>
      <c r="H328" s="11">
        <v>113</v>
      </c>
      <c r="I328" s="12">
        <v>55</v>
      </c>
      <c r="J328" s="11">
        <v>7</v>
      </c>
      <c r="K328" s="35">
        <v>567</v>
      </c>
      <c r="L328" s="80"/>
      <c r="M328" s="83"/>
      <c r="N328" s="13">
        <v>0.64105725288391102</v>
      </c>
    </row>
    <row r="329" spans="1:14" x14ac:dyDescent="0.35">
      <c r="A329" s="89"/>
      <c r="B329" s="11" t="s">
        <v>21</v>
      </c>
      <c r="C329" s="12">
        <v>0.27302631578947367</v>
      </c>
      <c r="D329" s="11">
        <v>0.60690789473684215</v>
      </c>
      <c r="E329" s="12">
        <v>6.9078947368421059E-2</v>
      </c>
      <c r="F329" s="11">
        <v>5.0986842105263157E-2</v>
      </c>
      <c r="G329" s="12">
        <v>166</v>
      </c>
      <c r="H329" s="11">
        <v>369</v>
      </c>
      <c r="I329" s="12">
        <v>42</v>
      </c>
      <c r="J329" s="11">
        <v>31</v>
      </c>
      <c r="K329" s="35">
        <v>608</v>
      </c>
      <c r="L329" s="80"/>
      <c r="M329" s="83"/>
      <c r="N329" s="13">
        <v>0.65259933471679699</v>
      </c>
    </row>
    <row r="330" spans="1:14" ht="16" thickBot="1" x14ac:dyDescent="0.4">
      <c r="A330" s="90"/>
      <c r="B330" s="14" t="s">
        <v>381</v>
      </c>
      <c r="C330" s="15">
        <v>0.43154761904761912</v>
      </c>
      <c r="D330" s="14">
        <v>0.44047619047619052</v>
      </c>
      <c r="E330" s="15">
        <v>0.1101190476190476</v>
      </c>
      <c r="F330" s="14">
        <v>1.785714285714286E-2</v>
      </c>
      <c r="G330" s="15">
        <v>145</v>
      </c>
      <c r="H330" s="14">
        <v>148</v>
      </c>
      <c r="I330" s="15">
        <v>37</v>
      </c>
      <c r="J330" s="14">
        <v>6</v>
      </c>
      <c r="K330" s="36">
        <v>336</v>
      </c>
      <c r="L330" s="81"/>
      <c r="M330" s="84"/>
      <c r="N330" s="16">
        <v>0.30620628595352201</v>
      </c>
    </row>
    <row r="331" spans="1:14" x14ac:dyDescent="0.35">
      <c r="A331" s="91" t="s">
        <v>428</v>
      </c>
      <c r="B331" s="17" t="s">
        <v>29</v>
      </c>
      <c r="C331" s="18">
        <v>0.34104046242774572</v>
      </c>
      <c r="D331" s="17">
        <v>0.31406551059730248</v>
      </c>
      <c r="E331" s="18">
        <v>0.2813102119460501</v>
      </c>
      <c r="F331" s="17">
        <v>6.358381502890173E-2</v>
      </c>
      <c r="G331" s="18">
        <v>177</v>
      </c>
      <c r="H331" s="17">
        <v>163</v>
      </c>
      <c r="I331" s="18">
        <v>146</v>
      </c>
      <c r="J331" s="17">
        <v>33</v>
      </c>
      <c r="K331" s="37">
        <v>519</v>
      </c>
      <c r="L331" s="76" t="s">
        <v>36</v>
      </c>
      <c r="M331" s="85">
        <v>0.51929748058319103</v>
      </c>
      <c r="N331" s="19">
        <v>-0.57606667280197099</v>
      </c>
    </row>
    <row r="332" spans="1:14" x14ac:dyDescent="0.35">
      <c r="A332" s="92"/>
      <c r="B332" s="20" t="s">
        <v>25</v>
      </c>
      <c r="C332" s="21">
        <v>0.36549707602339182</v>
      </c>
      <c r="D332" s="20">
        <v>0.38011695906432752</v>
      </c>
      <c r="E332" s="21">
        <v>0.24561403508771931</v>
      </c>
      <c r="F332" s="20">
        <v>8.771929824561403E-3</v>
      </c>
      <c r="G332" s="21">
        <v>125</v>
      </c>
      <c r="H332" s="20">
        <v>130</v>
      </c>
      <c r="I332" s="21">
        <v>84</v>
      </c>
      <c r="J332" s="20">
        <v>3</v>
      </c>
      <c r="K332" s="38">
        <v>342</v>
      </c>
      <c r="L332" s="77"/>
      <c r="M332" s="86"/>
      <c r="N332" s="22">
        <v>-0.42756709456443798</v>
      </c>
    </row>
    <row r="333" spans="1:14" x14ac:dyDescent="0.35">
      <c r="A333" s="92"/>
      <c r="B333" s="20" t="s">
        <v>63</v>
      </c>
      <c r="C333" s="21">
        <v>0.23728813559322029</v>
      </c>
      <c r="D333" s="20">
        <v>0.42372881355932202</v>
      </c>
      <c r="E333" s="21">
        <v>0.30932203389830509</v>
      </c>
      <c r="F333" s="20">
        <v>2.966101694915254E-2</v>
      </c>
      <c r="G333" s="21">
        <v>56</v>
      </c>
      <c r="H333" s="20">
        <v>100</v>
      </c>
      <c r="I333" s="21">
        <v>73</v>
      </c>
      <c r="J333" s="20">
        <v>7</v>
      </c>
      <c r="K333" s="38">
        <v>236</v>
      </c>
      <c r="L333" s="77"/>
      <c r="M333" s="86"/>
      <c r="N333" s="22">
        <v>-0.73896968364715598</v>
      </c>
    </row>
    <row r="334" spans="1:14" x14ac:dyDescent="0.35">
      <c r="A334" s="92"/>
      <c r="B334" s="20" t="s">
        <v>380</v>
      </c>
      <c r="C334" s="21">
        <v>0.32151898734177209</v>
      </c>
      <c r="D334" s="20">
        <v>0.38734177215189869</v>
      </c>
      <c r="E334" s="21">
        <v>0.26329113924050629</v>
      </c>
      <c r="F334" s="20">
        <v>2.7848101265822781E-2</v>
      </c>
      <c r="G334" s="21">
        <v>127</v>
      </c>
      <c r="H334" s="20">
        <v>153</v>
      </c>
      <c r="I334" s="21">
        <v>104</v>
      </c>
      <c r="J334" s="20">
        <v>11</v>
      </c>
      <c r="K334" s="38">
        <v>395</v>
      </c>
      <c r="L334" s="77"/>
      <c r="M334" s="86"/>
      <c r="N334" s="22">
        <v>-0.59123903512954701</v>
      </c>
    </row>
    <row r="335" spans="1:14" x14ac:dyDescent="0.35">
      <c r="A335" s="92"/>
      <c r="B335" s="20" t="s">
        <v>11</v>
      </c>
      <c r="C335" s="21">
        <v>0.36155202821869492</v>
      </c>
      <c r="D335" s="20">
        <v>0.42328042328042331</v>
      </c>
      <c r="E335" s="21">
        <v>0.19576719576719581</v>
      </c>
      <c r="F335" s="20">
        <v>1.9400352733686069E-2</v>
      </c>
      <c r="G335" s="21">
        <v>205</v>
      </c>
      <c r="H335" s="20">
        <v>240</v>
      </c>
      <c r="I335" s="21">
        <v>111</v>
      </c>
      <c r="J335" s="20">
        <v>11</v>
      </c>
      <c r="K335" s="38">
        <v>567</v>
      </c>
      <c r="L335" s="77"/>
      <c r="M335" s="86"/>
      <c r="N335" s="22">
        <v>-0.23609046638011899</v>
      </c>
    </row>
    <row r="336" spans="1:14" x14ac:dyDescent="0.35">
      <c r="A336" s="92"/>
      <c r="B336" s="20" t="s">
        <v>21</v>
      </c>
      <c r="C336" s="21">
        <v>0.54769736842105265</v>
      </c>
      <c r="D336" s="20">
        <v>0.2417763157894737</v>
      </c>
      <c r="E336" s="21">
        <v>0.18256578947368421</v>
      </c>
      <c r="F336" s="20">
        <v>2.796052631578947E-2</v>
      </c>
      <c r="G336" s="21">
        <v>333</v>
      </c>
      <c r="H336" s="20">
        <v>147</v>
      </c>
      <c r="I336" s="21">
        <v>111</v>
      </c>
      <c r="J336" s="20">
        <v>17</v>
      </c>
      <c r="K336" s="38">
        <v>608</v>
      </c>
      <c r="L336" s="77"/>
      <c r="M336" s="86"/>
      <c r="N336" s="22">
        <v>-0.49356731772422802</v>
      </c>
    </row>
    <row r="337" spans="1:14" ht="16" thickBot="1" x14ac:dyDescent="0.4">
      <c r="A337" s="93"/>
      <c r="B337" s="26" t="s">
        <v>381</v>
      </c>
      <c r="C337" s="27">
        <v>0.2857142857142857</v>
      </c>
      <c r="D337" s="26">
        <v>0.4017857142857143</v>
      </c>
      <c r="E337" s="27">
        <v>0.30654761904761912</v>
      </c>
      <c r="F337" s="26">
        <v>5.9523809523809521E-3</v>
      </c>
      <c r="G337" s="27">
        <v>96</v>
      </c>
      <c r="H337" s="26">
        <v>135</v>
      </c>
      <c r="I337" s="27">
        <v>103</v>
      </c>
      <c r="J337" s="26">
        <v>2</v>
      </c>
      <c r="K337" s="39">
        <v>336</v>
      </c>
      <c r="L337" s="78"/>
      <c r="M337" s="87"/>
      <c r="N337" s="28">
        <v>-0.70044833421707198</v>
      </c>
    </row>
    <row r="338" spans="1:14" x14ac:dyDescent="0.35">
      <c r="A338" s="88" t="s">
        <v>429</v>
      </c>
      <c r="B338" s="8" t="s">
        <v>29</v>
      </c>
      <c r="C338" s="9">
        <v>0.45664739884393057</v>
      </c>
      <c r="D338" s="8">
        <v>0.4932562620423892</v>
      </c>
      <c r="E338" s="9">
        <v>1.348747591522158E-2</v>
      </c>
      <c r="F338" s="8">
        <v>3.6608863198458567E-2</v>
      </c>
      <c r="G338" s="9">
        <v>237</v>
      </c>
      <c r="H338" s="8">
        <v>256</v>
      </c>
      <c r="I338" s="9">
        <v>7</v>
      </c>
      <c r="J338" s="8">
        <v>19</v>
      </c>
      <c r="K338" s="34">
        <v>519</v>
      </c>
      <c r="L338" s="79" t="s">
        <v>19</v>
      </c>
      <c r="M338" s="82">
        <v>-0.48129940032959001</v>
      </c>
      <c r="N338" s="10">
        <v>0.36780446767807001</v>
      </c>
    </row>
    <row r="339" spans="1:14" x14ac:dyDescent="0.35">
      <c r="A339" s="89"/>
      <c r="B339" s="11" t="s">
        <v>25</v>
      </c>
      <c r="C339" s="12">
        <v>0.47076023391812871</v>
      </c>
      <c r="D339" s="11">
        <v>0.5</v>
      </c>
      <c r="E339" s="12">
        <v>8.771929824561403E-3</v>
      </c>
      <c r="F339" s="11">
        <v>2.046783625730994E-2</v>
      </c>
      <c r="G339" s="12">
        <v>161</v>
      </c>
      <c r="H339" s="11">
        <v>171</v>
      </c>
      <c r="I339" s="12">
        <v>3</v>
      </c>
      <c r="J339" s="11">
        <v>7</v>
      </c>
      <c r="K339" s="35">
        <v>342</v>
      </c>
      <c r="L339" s="80"/>
      <c r="M339" s="83"/>
      <c r="N339" s="13">
        <v>0.35944268107414201</v>
      </c>
    </row>
    <row r="340" spans="1:14" x14ac:dyDescent="0.35">
      <c r="A340" s="89"/>
      <c r="B340" s="11" t="s">
        <v>63</v>
      </c>
      <c r="C340" s="12">
        <v>0.36440677966101692</v>
      </c>
      <c r="D340" s="11">
        <v>0.46610169491525422</v>
      </c>
      <c r="E340" s="12">
        <v>0.15254237288135589</v>
      </c>
      <c r="F340" s="11">
        <v>1.6949152542372881E-2</v>
      </c>
      <c r="G340" s="12">
        <v>86</v>
      </c>
      <c r="H340" s="11">
        <v>110</v>
      </c>
      <c r="I340" s="12">
        <v>36</v>
      </c>
      <c r="J340" s="11">
        <v>4</v>
      </c>
      <c r="K340" s="35">
        <v>236</v>
      </c>
      <c r="L340" s="80"/>
      <c r="M340" s="83"/>
      <c r="N340" s="13">
        <v>-0.11468560993671401</v>
      </c>
    </row>
    <row r="341" spans="1:14" x14ac:dyDescent="0.35">
      <c r="A341" s="89"/>
      <c r="B341" s="11" t="s">
        <v>380</v>
      </c>
      <c r="C341" s="12">
        <v>0.6860759493670886</v>
      </c>
      <c r="D341" s="11">
        <v>0.2810126582278481</v>
      </c>
      <c r="E341" s="12">
        <v>2.5316455696202531E-2</v>
      </c>
      <c r="F341" s="11">
        <v>7.5949367088607592E-3</v>
      </c>
      <c r="G341" s="12">
        <v>271</v>
      </c>
      <c r="H341" s="11">
        <v>111</v>
      </c>
      <c r="I341" s="12">
        <v>10</v>
      </c>
      <c r="J341" s="11">
        <v>3</v>
      </c>
      <c r="K341" s="35">
        <v>395</v>
      </c>
      <c r="L341" s="80"/>
      <c r="M341" s="83"/>
      <c r="N341" s="13">
        <v>0.40216448903083801</v>
      </c>
    </row>
    <row r="342" spans="1:14" x14ac:dyDescent="0.35">
      <c r="A342" s="89"/>
      <c r="B342" s="11" t="s">
        <v>11</v>
      </c>
      <c r="C342" s="12">
        <v>0.73544973544973546</v>
      </c>
      <c r="D342" s="11">
        <v>0.25044091710758382</v>
      </c>
      <c r="E342" s="12">
        <v>1.234567901234568E-2</v>
      </c>
      <c r="F342" s="11">
        <v>1.7636684303350969E-3</v>
      </c>
      <c r="G342" s="12">
        <v>417</v>
      </c>
      <c r="H342" s="11">
        <v>142</v>
      </c>
      <c r="I342" s="12">
        <v>7</v>
      </c>
      <c r="J342" s="11">
        <v>1</v>
      </c>
      <c r="K342" s="35">
        <v>567</v>
      </c>
      <c r="L342" s="80"/>
      <c r="M342" s="83"/>
      <c r="N342" s="13">
        <v>0.51701968908309903</v>
      </c>
    </row>
    <row r="343" spans="1:14" x14ac:dyDescent="0.35">
      <c r="A343" s="89"/>
      <c r="B343" s="11" t="s">
        <v>21</v>
      </c>
      <c r="C343" s="12">
        <v>0.32730263157894729</v>
      </c>
      <c r="D343" s="11">
        <v>0.63980263157894735</v>
      </c>
      <c r="E343" s="12">
        <v>2.796052631578947E-2</v>
      </c>
      <c r="F343" s="11">
        <v>4.9342105263157892E-3</v>
      </c>
      <c r="G343" s="12">
        <v>199</v>
      </c>
      <c r="H343" s="11">
        <v>389</v>
      </c>
      <c r="I343" s="12">
        <v>17</v>
      </c>
      <c r="J343" s="11">
        <v>3</v>
      </c>
      <c r="K343" s="35">
        <v>608</v>
      </c>
      <c r="L343" s="80"/>
      <c r="M343" s="83"/>
      <c r="N343" s="13">
        <v>0.53357875347137496</v>
      </c>
    </row>
    <row r="344" spans="1:14" ht="16" thickBot="1" x14ac:dyDescent="0.4">
      <c r="A344" s="90"/>
      <c r="B344" s="14" t="s">
        <v>381</v>
      </c>
      <c r="C344" s="15">
        <v>0.69047619047619047</v>
      </c>
      <c r="D344" s="14">
        <v>0.2857142857142857</v>
      </c>
      <c r="E344" s="15">
        <v>8.9285714285714281E-3</v>
      </c>
      <c r="F344" s="14">
        <v>1.488095238095238E-2</v>
      </c>
      <c r="G344" s="15">
        <v>232</v>
      </c>
      <c r="H344" s="14">
        <v>96</v>
      </c>
      <c r="I344" s="15">
        <v>3</v>
      </c>
      <c r="J344" s="14">
        <v>5</v>
      </c>
      <c r="K344" s="36">
        <v>336</v>
      </c>
      <c r="L344" s="81"/>
      <c r="M344" s="84"/>
      <c r="N344" s="16">
        <v>0.60159319639205899</v>
      </c>
    </row>
    <row r="345" spans="1:14" x14ac:dyDescent="0.35">
      <c r="A345" s="91" t="s">
        <v>430</v>
      </c>
      <c r="B345" s="17" t="s">
        <v>29</v>
      </c>
      <c r="C345" s="18">
        <v>0.60115606936416188</v>
      </c>
      <c r="D345" s="17">
        <v>0.37379576107899809</v>
      </c>
      <c r="E345" s="18">
        <v>9.6339113680154135E-3</v>
      </c>
      <c r="F345" s="17">
        <v>1.5414258188824659E-2</v>
      </c>
      <c r="G345" s="18">
        <v>312</v>
      </c>
      <c r="H345" s="17">
        <v>194</v>
      </c>
      <c r="I345" s="18">
        <v>5</v>
      </c>
      <c r="J345" s="17">
        <v>8</v>
      </c>
      <c r="K345" s="37">
        <v>519</v>
      </c>
      <c r="L345" s="76" t="s">
        <v>67</v>
      </c>
      <c r="M345" s="85">
        <v>-0.89418810606002797</v>
      </c>
      <c r="N345" s="19">
        <v>0.898762226104736</v>
      </c>
    </row>
    <row r="346" spans="1:14" x14ac:dyDescent="0.35">
      <c r="A346" s="92"/>
      <c r="B346" s="20" t="s">
        <v>25</v>
      </c>
      <c r="C346" s="21">
        <v>0.65789473684210531</v>
      </c>
      <c r="D346" s="20">
        <v>0.30409356725146203</v>
      </c>
      <c r="E346" s="21">
        <v>2.923976608187134E-2</v>
      </c>
      <c r="F346" s="20">
        <v>8.771929824561403E-3</v>
      </c>
      <c r="G346" s="21">
        <v>225</v>
      </c>
      <c r="H346" s="20">
        <v>104</v>
      </c>
      <c r="I346" s="21">
        <v>10</v>
      </c>
      <c r="J346" s="20">
        <v>3</v>
      </c>
      <c r="K346" s="38">
        <v>342</v>
      </c>
      <c r="L346" s="77"/>
      <c r="M346" s="86"/>
      <c r="N346" s="22">
        <v>0.82867473363876298</v>
      </c>
    </row>
    <row r="347" spans="1:14" x14ac:dyDescent="0.35">
      <c r="A347" s="92"/>
      <c r="B347" s="20" t="s">
        <v>63</v>
      </c>
      <c r="C347" s="21">
        <v>0.77118644067796616</v>
      </c>
      <c r="D347" s="20">
        <v>0.17796610169491531</v>
      </c>
      <c r="E347" s="21">
        <v>1.271186440677966E-2</v>
      </c>
      <c r="F347" s="20">
        <v>3.8135593220338992E-2</v>
      </c>
      <c r="G347" s="21">
        <v>182</v>
      </c>
      <c r="H347" s="20">
        <v>42</v>
      </c>
      <c r="I347" s="21">
        <v>3</v>
      </c>
      <c r="J347" s="20">
        <v>9</v>
      </c>
      <c r="K347" s="38">
        <v>236</v>
      </c>
      <c r="L347" s="77"/>
      <c r="M347" s="86"/>
      <c r="N347" s="22">
        <v>0.74248546361923196</v>
      </c>
    </row>
    <row r="348" spans="1:14" x14ac:dyDescent="0.35">
      <c r="A348" s="92"/>
      <c r="B348" s="20" t="s">
        <v>380</v>
      </c>
      <c r="C348" s="21">
        <v>0.75696202531645573</v>
      </c>
      <c r="D348" s="20">
        <v>0.18481012658227849</v>
      </c>
      <c r="E348" s="21">
        <v>3.7974683544303799E-2</v>
      </c>
      <c r="F348" s="20">
        <v>2.0253164556962029E-2</v>
      </c>
      <c r="G348" s="21">
        <v>299</v>
      </c>
      <c r="H348" s="20">
        <v>73</v>
      </c>
      <c r="I348" s="21">
        <v>15</v>
      </c>
      <c r="J348" s="20">
        <v>8</v>
      </c>
      <c r="K348" s="38">
        <v>395</v>
      </c>
      <c r="L348" s="77"/>
      <c r="M348" s="86"/>
      <c r="N348" s="22">
        <v>0.90904062986373901</v>
      </c>
    </row>
    <row r="349" spans="1:14" x14ac:dyDescent="0.35">
      <c r="A349" s="92"/>
      <c r="B349" s="20" t="s">
        <v>11</v>
      </c>
      <c r="C349" s="21">
        <v>0.76190476190476186</v>
      </c>
      <c r="D349" s="20">
        <v>0.1693121693121693</v>
      </c>
      <c r="E349" s="21">
        <v>5.114638447971781E-2</v>
      </c>
      <c r="F349" s="20">
        <v>1.7636684303350969E-2</v>
      </c>
      <c r="G349" s="21">
        <v>432</v>
      </c>
      <c r="H349" s="20">
        <v>96</v>
      </c>
      <c r="I349" s="21">
        <v>29</v>
      </c>
      <c r="J349" s="20">
        <v>10</v>
      </c>
      <c r="K349" s="38">
        <v>567</v>
      </c>
      <c r="L349" s="77"/>
      <c r="M349" s="86"/>
      <c r="N349" s="22">
        <v>0.70759254693984996</v>
      </c>
    </row>
    <row r="350" spans="1:14" x14ac:dyDescent="0.35">
      <c r="A350" s="92"/>
      <c r="B350" s="20" t="s">
        <v>21</v>
      </c>
      <c r="C350" s="21">
        <v>0.43421052631578949</v>
      </c>
      <c r="D350" s="20">
        <v>0.53125</v>
      </c>
      <c r="E350" s="21">
        <v>1.4802631578947369E-2</v>
      </c>
      <c r="F350" s="20">
        <v>1.973684210526316E-2</v>
      </c>
      <c r="G350" s="21">
        <v>264</v>
      </c>
      <c r="H350" s="20">
        <v>323</v>
      </c>
      <c r="I350" s="21">
        <v>9</v>
      </c>
      <c r="J350" s="20">
        <v>12</v>
      </c>
      <c r="K350" s="38">
        <v>608</v>
      </c>
      <c r="L350" s="77"/>
      <c r="M350" s="86"/>
      <c r="N350" s="22">
        <v>0.88898736238479603</v>
      </c>
    </row>
    <row r="351" spans="1:14" ht="16" thickBot="1" x14ac:dyDescent="0.4">
      <c r="A351" s="93"/>
      <c r="B351" s="26" t="s">
        <v>381</v>
      </c>
      <c r="C351" s="27">
        <v>0.7053571428571429</v>
      </c>
      <c r="D351" s="26">
        <v>0.23214285714285721</v>
      </c>
      <c r="E351" s="27">
        <v>5.6547619047619048E-2</v>
      </c>
      <c r="F351" s="26">
        <v>5.9523809523809521E-3</v>
      </c>
      <c r="G351" s="27">
        <v>237</v>
      </c>
      <c r="H351" s="26">
        <v>78</v>
      </c>
      <c r="I351" s="27">
        <v>19</v>
      </c>
      <c r="J351" s="26">
        <v>2</v>
      </c>
      <c r="K351" s="39">
        <v>336</v>
      </c>
      <c r="L351" s="78"/>
      <c r="M351" s="87"/>
      <c r="N351" s="28">
        <v>0.75141090154647805</v>
      </c>
    </row>
    <row r="352" spans="1:14" x14ac:dyDescent="0.35">
      <c r="A352" s="88" t="s">
        <v>431</v>
      </c>
      <c r="B352" s="8" t="s">
        <v>29</v>
      </c>
      <c r="C352" s="9">
        <v>0.59152215799614638</v>
      </c>
      <c r="D352" s="8">
        <v>0.25626204238921002</v>
      </c>
      <c r="E352" s="9">
        <v>9.6339113680154135E-3</v>
      </c>
      <c r="F352" s="8">
        <v>0.1425818882466281</v>
      </c>
      <c r="G352" s="9">
        <v>307</v>
      </c>
      <c r="H352" s="8">
        <v>133</v>
      </c>
      <c r="I352" s="9">
        <v>5</v>
      </c>
      <c r="J352" s="8">
        <v>74</v>
      </c>
      <c r="K352" s="34">
        <v>519</v>
      </c>
      <c r="L352" s="79" t="s">
        <v>53</v>
      </c>
      <c r="M352" s="82">
        <v>-0.77307105064392101</v>
      </c>
      <c r="N352" s="10">
        <v>0.79887211322784402</v>
      </c>
    </row>
    <row r="353" spans="1:14" x14ac:dyDescent="0.35">
      <c r="A353" s="89"/>
      <c r="B353" s="11" t="s">
        <v>25</v>
      </c>
      <c r="C353" s="12">
        <v>0.64619883040935677</v>
      </c>
      <c r="D353" s="11">
        <v>0.26315789473684209</v>
      </c>
      <c r="E353" s="12">
        <v>1.461988304093567E-2</v>
      </c>
      <c r="F353" s="11">
        <v>7.6023391812865493E-2</v>
      </c>
      <c r="G353" s="12">
        <v>221</v>
      </c>
      <c r="H353" s="11">
        <v>90</v>
      </c>
      <c r="I353" s="12">
        <v>5</v>
      </c>
      <c r="J353" s="11">
        <v>26</v>
      </c>
      <c r="K353" s="35">
        <v>342</v>
      </c>
      <c r="L353" s="80"/>
      <c r="M353" s="83"/>
      <c r="N353" s="13">
        <v>0.65726327896118197</v>
      </c>
    </row>
    <row r="354" spans="1:14" x14ac:dyDescent="0.35">
      <c r="A354" s="89"/>
      <c r="B354" s="11" t="s">
        <v>63</v>
      </c>
      <c r="C354" s="12">
        <v>0.72457627118644063</v>
      </c>
      <c r="D354" s="11">
        <v>0.19491525423728809</v>
      </c>
      <c r="E354" s="12">
        <v>2.966101694915254E-2</v>
      </c>
      <c r="F354" s="11">
        <v>5.0847457627118647E-2</v>
      </c>
      <c r="G354" s="12">
        <v>171</v>
      </c>
      <c r="H354" s="11">
        <v>46</v>
      </c>
      <c r="I354" s="12">
        <v>7</v>
      </c>
      <c r="J354" s="11">
        <v>12</v>
      </c>
      <c r="K354" s="35">
        <v>236</v>
      </c>
      <c r="L354" s="80"/>
      <c r="M354" s="83"/>
      <c r="N354" s="13">
        <v>0.28024649620056202</v>
      </c>
    </row>
    <row r="355" spans="1:14" x14ac:dyDescent="0.35">
      <c r="A355" s="89"/>
      <c r="B355" s="11" t="s">
        <v>380</v>
      </c>
      <c r="C355" s="12">
        <v>0.73417721518987344</v>
      </c>
      <c r="D355" s="11">
        <v>0.18481012658227849</v>
      </c>
      <c r="E355" s="12">
        <v>6.0759493670886067E-2</v>
      </c>
      <c r="F355" s="11">
        <v>2.0253164556962029E-2</v>
      </c>
      <c r="G355" s="12">
        <v>290</v>
      </c>
      <c r="H355" s="11">
        <v>73</v>
      </c>
      <c r="I355" s="12">
        <v>24</v>
      </c>
      <c r="J355" s="11">
        <v>8</v>
      </c>
      <c r="K355" s="35">
        <v>395</v>
      </c>
      <c r="L355" s="80"/>
      <c r="M355" s="83"/>
      <c r="N355" s="13">
        <v>0.57917463779449496</v>
      </c>
    </row>
    <row r="356" spans="1:14" x14ac:dyDescent="0.35">
      <c r="A356" s="89"/>
      <c r="B356" s="11" t="s">
        <v>11</v>
      </c>
      <c r="C356" s="12">
        <v>0.80070546737213399</v>
      </c>
      <c r="D356" s="11">
        <v>0.14991181657848321</v>
      </c>
      <c r="E356" s="12">
        <v>1.7636684303350969E-2</v>
      </c>
      <c r="F356" s="11">
        <v>3.1746031746031737E-2</v>
      </c>
      <c r="G356" s="12">
        <v>454</v>
      </c>
      <c r="H356" s="11">
        <v>85</v>
      </c>
      <c r="I356" s="12">
        <v>10</v>
      </c>
      <c r="J356" s="11">
        <v>18</v>
      </c>
      <c r="K356" s="35">
        <v>567</v>
      </c>
      <c r="L356" s="80"/>
      <c r="M356" s="83"/>
      <c r="N356" s="13">
        <v>0.750926613807678</v>
      </c>
    </row>
    <row r="357" spans="1:14" x14ac:dyDescent="0.35">
      <c r="A357" s="89"/>
      <c r="B357" s="11" t="s">
        <v>21</v>
      </c>
      <c r="C357" s="12">
        <v>0.41282894736842107</v>
      </c>
      <c r="D357" s="11">
        <v>0.50328947368421051</v>
      </c>
      <c r="E357" s="12">
        <v>1.4802631578947369E-2</v>
      </c>
      <c r="F357" s="11">
        <v>6.9078947368421059E-2</v>
      </c>
      <c r="G357" s="12">
        <v>251</v>
      </c>
      <c r="H357" s="11">
        <v>306</v>
      </c>
      <c r="I357" s="12">
        <v>9</v>
      </c>
      <c r="J357" s="11">
        <v>42</v>
      </c>
      <c r="K357" s="35">
        <v>608</v>
      </c>
      <c r="L357" s="80"/>
      <c r="M357" s="83"/>
      <c r="N357" s="13">
        <v>0.72904449701309204</v>
      </c>
    </row>
    <row r="358" spans="1:14" ht="16" thickBot="1" x14ac:dyDescent="0.4">
      <c r="A358" s="90"/>
      <c r="B358" s="14" t="s">
        <v>381</v>
      </c>
      <c r="C358" s="15">
        <v>0.6696428571428571</v>
      </c>
      <c r="D358" s="14">
        <v>0.25297619047619052</v>
      </c>
      <c r="E358" s="15">
        <v>1.785714285714286E-2</v>
      </c>
      <c r="F358" s="14">
        <v>5.9523809523809521E-2</v>
      </c>
      <c r="G358" s="15">
        <v>225</v>
      </c>
      <c r="H358" s="14">
        <v>85</v>
      </c>
      <c r="I358" s="15">
        <v>6</v>
      </c>
      <c r="J358" s="14">
        <v>20</v>
      </c>
      <c r="K358" s="36">
        <v>336</v>
      </c>
      <c r="L358" s="81"/>
      <c r="M358" s="84"/>
      <c r="N358" s="16">
        <v>0.66665333509445202</v>
      </c>
    </row>
    <row r="359" spans="1:14" x14ac:dyDescent="0.35">
      <c r="A359" s="91" t="s">
        <v>432</v>
      </c>
      <c r="B359" s="17" t="s">
        <v>29</v>
      </c>
      <c r="C359" s="18">
        <v>0.2774566473988439</v>
      </c>
      <c r="D359" s="17">
        <v>0.45279383429672448</v>
      </c>
      <c r="E359" s="18">
        <v>0.20423892100192681</v>
      </c>
      <c r="F359" s="17">
        <v>6.5510597302504817E-2</v>
      </c>
      <c r="G359" s="18">
        <v>144</v>
      </c>
      <c r="H359" s="17">
        <v>235</v>
      </c>
      <c r="I359" s="18">
        <v>106</v>
      </c>
      <c r="J359" s="17">
        <v>34</v>
      </c>
      <c r="K359" s="37">
        <v>519</v>
      </c>
      <c r="L359" s="76" t="s">
        <v>36</v>
      </c>
      <c r="M359" s="85">
        <v>0.80596691370010398</v>
      </c>
      <c r="N359" s="19">
        <v>-0.95497256517410301</v>
      </c>
    </row>
    <row r="360" spans="1:14" x14ac:dyDescent="0.35">
      <c r="A360" s="92"/>
      <c r="B360" s="20" t="s">
        <v>25</v>
      </c>
      <c r="C360" s="21">
        <v>0.26900584795321641</v>
      </c>
      <c r="D360" s="20">
        <v>0.48830409356725152</v>
      </c>
      <c r="E360" s="21">
        <v>0.19298245614035089</v>
      </c>
      <c r="F360" s="20">
        <v>4.9707602339181277E-2</v>
      </c>
      <c r="G360" s="21">
        <v>92</v>
      </c>
      <c r="H360" s="20">
        <v>167</v>
      </c>
      <c r="I360" s="21">
        <v>66</v>
      </c>
      <c r="J360" s="20">
        <v>17</v>
      </c>
      <c r="K360" s="38">
        <v>342</v>
      </c>
      <c r="L360" s="77"/>
      <c r="M360" s="86"/>
      <c r="N360" s="22">
        <v>-0.75692230463027999</v>
      </c>
    </row>
    <row r="361" spans="1:14" x14ac:dyDescent="0.35">
      <c r="A361" s="92"/>
      <c r="B361" s="20" t="s">
        <v>63</v>
      </c>
      <c r="C361" s="21">
        <v>0.2076271186440678</v>
      </c>
      <c r="D361" s="20">
        <v>0.51694915254237284</v>
      </c>
      <c r="E361" s="21">
        <v>0.22033898305084751</v>
      </c>
      <c r="F361" s="20">
        <v>5.5084745762711863E-2</v>
      </c>
      <c r="G361" s="21">
        <v>49</v>
      </c>
      <c r="H361" s="20">
        <v>122</v>
      </c>
      <c r="I361" s="21">
        <v>52</v>
      </c>
      <c r="J361" s="20">
        <v>13</v>
      </c>
      <c r="K361" s="38">
        <v>236</v>
      </c>
      <c r="L361" s="77"/>
      <c r="M361" s="86"/>
      <c r="N361" s="22">
        <v>-0.85966169834136996</v>
      </c>
    </row>
    <row r="362" spans="1:14" x14ac:dyDescent="0.35">
      <c r="A362" s="92"/>
      <c r="B362" s="20" t="s">
        <v>380</v>
      </c>
      <c r="C362" s="21">
        <v>0.24556962025316459</v>
      </c>
      <c r="D362" s="20">
        <v>0.48860759493670891</v>
      </c>
      <c r="E362" s="21">
        <v>0.25569620253164549</v>
      </c>
      <c r="F362" s="20">
        <v>1.0126582278481009E-2</v>
      </c>
      <c r="G362" s="21">
        <v>97</v>
      </c>
      <c r="H362" s="20">
        <v>193</v>
      </c>
      <c r="I362" s="21">
        <v>101</v>
      </c>
      <c r="J362" s="20">
        <v>4</v>
      </c>
      <c r="K362" s="38">
        <v>395</v>
      </c>
      <c r="L362" s="77"/>
      <c r="M362" s="86"/>
      <c r="N362" s="22">
        <v>-0.90508812665939298</v>
      </c>
    </row>
    <row r="363" spans="1:14" x14ac:dyDescent="0.35">
      <c r="A363" s="92"/>
      <c r="B363" s="20" t="s">
        <v>11</v>
      </c>
      <c r="C363" s="21">
        <v>0.2839506172839506</v>
      </c>
      <c r="D363" s="20">
        <v>0.4532627865961199</v>
      </c>
      <c r="E363" s="21">
        <v>0.23280423280423279</v>
      </c>
      <c r="F363" s="20">
        <v>2.9982363315696651E-2</v>
      </c>
      <c r="G363" s="21">
        <v>161</v>
      </c>
      <c r="H363" s="20">
        <v>257</v>
      </c>
      <c r="I363" s="21">
        <v>132</v>
      </c>
      <c r="J363" s="20">
        <v>17</v>
      </c>
      <c r="K363" s="38">
        <v>567</v>
      </c>
      <c r="L363" s="77"/>
      <c r="M363" s="86"/>
      <c r="N363" s="22">
        <v>-0.37816086411476102</v>
      </c>
    </row>
    <row r="364" spans="1:14" x14ac:dyDescent="0.35">
      <c r="A364" s="92"/>
      <c r="B364" s="20" t="s">
        <v>21</v>
      </c>
      <c r="C364" s="21">
        <v>0.49506578947368418</v>
      </c>
      <c r="D364" s="20">
        <v>0.26644736842105271</v>
      </c>
      <c r="E364" s="21">
        <v>0.20065789473684209</v>
      </c>
      <c r="F364" s="20">
        <v>3.7828947368421052E-2</v>
      </c>
      <c r="G364" s="21">
        <v>301</v>
      </c>
      <c r="H364" s="20">
        <v>162</v>
      </c>
      <c r="I364" s="21">
        <v>122</v>
      </c>
      <c r="J364" s="20">
        <v>23</v>
      </c>
      <c r="K364" s="38">
        <v>608</v>
      </c>
      <c r="L364" s="77"/>
      <c r="M364" s="86"/>
      <c r="N364" s="22">
        <v>-0.82977670431137096</v>
      </c>
    </row>
    <row r="365" spans="1:14" ht="16" thickBot="1" x14ac:dyDescent="0.4">
      <c r="A365" s="93"/>
      <c r="B365" s="26" t="s">
        <v>381</v>
      </c>
      <c r="C365" s="27">
        <v>0.28273809523809518</v>
      </c>
      <c r="D365" s="26">
        <v>0.40773809523809518</v>
      </c>
      <c r="E365" s="27">
        <v>0.30059523809523808</v>
      </c>
      <c r="F365" s="26">
        <v>8.9285714285714281E-3</v>
      </c>
      <c r="G365" s="27">
        <v>95</v>
      </c>
      <c r="H365" s="26">
        <v>137</v>
      </c>
      <c r="I365" s="27">
        <v>101</v>
      </c>
      <c r="J365" s="26">
        <v>3</v>
      </c>
      <c r="K365" s="39">
        <v>336</v>
      </c>
      <c r="L365" s="78"/>
      <c r="M365" s="87"/>
      <c r="N365" s="28">
        <v>-0.73736268281936601</v>
      </c>
    </row>
    <row r="366" spans="1:14" x14ac:dyDescent="0.35">
      <c r="A366" s="88" t="s">
        <v>433</v>
      </c>
      <c r="B366" s="8" t="s">
        <v>29</v>
      </c>
      <c r="C366" s="9">
        <v>0.38535645472061658</v>
      </c>
      <c r="D366" s="8">
        <v>0.26396917148362242</v>
      </c>
      <c r="E366" s="9">
        <v>0.32369942196531792</v>
      </c>
      <c r="F366" s="8">
        <v>2.6974951830443159E-2</v>
      </c>
      <c r="G366" s="9">
        <v>200</v>
      </c>
      <c r="H366" s="8">
        <v>137</v>
      </c>
      <c r="I366" s="9">
        <v>168</v>
      </c>
      <c r="J366" s="8">
        <v>14</v>
      </c>
      <c r="K366" s="34">
        <v>519</v>
      </c>
      <c r="L366" s="79" t="s">
        <v>36</v>
      </c>
      <c r="M366" s="82">
        <v>0.41630771756172202</v>
      </c>
      <c r="N366" s="10">
        <v>-0.55082398653030396</v>
      </c>
    </row>
    <row r="367" spans="1:14" x14ac:dyDescent="0.35">
      <c r="A367" s="89"/>
      <c r="B367" s="11" t="s">
        <v>25</v>
      </c>
      <c r="C367" s="12">
        <v>0.36257309941520471</v>
      </c>
      <c r="D367" s="11">
        <v>0.2807017543859649</v>
      </c>
      <c r="E367" s="12">
        <v>0.28362573099415211</v>
      </c>
      <c r="F367" s="11">
        <v>7.3099415204678359E-2</v>
      </c>
      <c r="G367" s="12">
        <v>124</v>
      </c>
      <c r="H367" s="11">
        <v>96</v>
      </c>
      <c r="I367" s="12">
        <v>97</v>
      </c>
      <c r="J367" s="11">
        <v>25</v>
      </c>
      <c r="K367" s="35">
        <v>342</v>
      </c>
      <c r="L367" s="80"/>
      <c r="M367" s="83"/>
      <c r="N367" s="13">
        <v>-0.339262425899506</v>
      </c>
    </row>
    <row r="368" spans="1:14" x14ac:dyDescent="0.35">
      <c r="A368" s="89"/>
      <c r="B368" s="11" t="s">
        <v>63</v>
      </c>
      <c r="C368" s="12">
        <v>0.27966101694915252</v>
      </c>
      <c r="D368" s="11">
        <v>0.27966101694915252</v>
      </c>
      <c r="E368" s="12">
        <v>0.38559322033898308</v>
      </c>
      <c r="F368" s="11">
        <v>5.5084745762711863E-2</v>
      </c>
      <c r="G368" s="12">
        <v>66</v>
      </c>
      <c r="H368" s="11">
        <v>66</v>
      </c>
      <c r="I368" s="12">
        <v>91</v>
      </c>
      <c r="J368" s="11">
        <v>13</v>
      </c>
      <c r="K368" s="35">
        <v>236</v>
      </c>
      <c r="L368" s="80"/>
      <c r="M368" s="83"/>
      <c r="N368" s="13">
        <v>-0.56904613971710205</v>
      </c>
    </row>
    <row r="369" spans="1:14" x14ac:dyDescent="0.35">
      <c r="A369" s="89"/>
      <c r="B369" s="11" t="s">
        <v>380</v>
      </c>
      <c r="C369" s="12">
        <v>0.3721518987341772</v>
      </c>
      <c r="D369" s="11">
        <v>0.33417721518987342</v>
      </c>
      <c r="E369" s="12">
        <v>0.28860759493670879</v>
      </c>
      <c r="F369" s="11">
        <v>5.0632911392405064E-3</v>
      </c>
      <c r="G369" s="12">
        <v>147</v>
      </c>
      <c r="H369" s="11">
        <v>132</v>
      </c>
      <c r="I369" s="12">
        <v>114</v>
      </c>
      <c r="J369" s="11">
        <v>2</v>
      </c>
      <c r="K369" s="35">
        <v>395</v>
      </c>
      <c r="L369" s="80"/>
      <c r="M369" s="83"/>
      <c r="N369" s="13">
        <v>-0.4839908182621</v>
      </c>
    </row>
    <row r="370" spans="1:14" x14ac:dyDescent="0.35">
      <c r="A370" s="89"/>
      <c r="B370" s="11" t="s">
        <v>11</v>
      </c>
      <c r="C370" s="12">
        <v>0.40211640211640209</v>
      </c>
      <c r="D370" s="11">
        <v>0.29453262786596118</v>
      </c>
      <c r="E370" s="12">
        <v>0.29100529100529099</v>
      </c>
      <c r="F370" s="11">
        <v>1.234567901234568E-2</v>
      </c>
      <c r="G370" s="12">
        <v>228</v>
      </c>
      <c r="H370" s="11">
        <v>167</v>
      </c>
      <c r="I370" s="12">
        <v>165</v>
      </c>
      <c r="J370" s="11">
        <v>7</v>
      </c>
      <c r="K370" s="35">
        <v>567</v>
      </c>
      <c r="L370" s="80"/>
      <c r="M370" s="83"/>
      <c r="N370" s="13">
        <v>-0.124043948948383</v>
      </c>
    </row>
    <row r="371" spans="1:14" x14ac:dyDescent="0.35">
      <c r="A371" s="89"/>
      <c r="B371" s="11" t="s">
        <v>21</v>
      </c>
      <c r="C371" s="12">
        <v>0.49177631578947367</v>
      </c>
      <c r="D371" s="11">
        <v>0.15953947368421051</v>
      </c>
      <c r="E371" s="12">
        <v>0.20888157894736839</v>
      </c>
      <c r="F371" s="11">
        <v>0.1398026315789474</v>
      </c>
      <c r="G371" s="12">
        <v>299</v>
      </c>
      <c r="H371" s="11">
        <v>97</v>
      </c>
      <c r="I371" s="12">
        <v>127</v>
      </c>
      <c r="J371" s="11">
        <v>85</v>
      </c>
      <c r="K371" s="35">
        <v>608</v>
      </c>
      <c r="L371" s="80"/>
      <c r="M371" s="83"/>
      <c r="N371" s="13">
        <v>-0.44157060980796797</v>
      </c>
    </row>
    <row r="372" spans="1:14" ht="16" thickBot="1" x14ac:dyDescent="0.4">
      <c r="A372" s="90"/>
      <c r="B372" s="14" t="s">
        <v>381</v>
      </c>
      <c r="C372" s="15">
        <v>0.35119047619047622</v>
      </c>
      <c r="D372" s="14">
        <v>0.26488095238095238</v>
      </c>
      <c r="E372" s="15">
        <v>0.36904761904761912</v>
      </c>
      <c r="F372" s="14">
        <v>1.488095238095238E-2</v>
      </c>
      <c r="G372" s="15">
        <v>118</v>
      </c>
      <c r="H372" s="14">
        <v>89</v>
      </c>
      <c r="I372" s="15">
        <v>124</v>
      </c>
      <c r="J372" s="14">
        <v>5</v>
      </c>
      <c r="K372" s="36">
        <v>336</v>
      </c>
      <c r="L372" s="81"/>
      <c r="M372" s="84"/>
      <c r="N372" s="16">
        <v>-0.50363653898239102</v>
      </c>
    </row>
    <row r="373" spans="1:14" x14ac:dyDescent="0.35">
      <c r="A373" s="91" t="s">
        <v>434</v>
      </c>
      <c r="B373" s="17" t="s">
        <v>29</v>
      </c>
      <c r="C373" s="18">
        <v>0.46628131021194608</v>
      </c>
      <c r="D373" s="17">
        <v>0.25626204238921002</v>
      </c>
      <c r="E373" s="18">
        <v>0.2427745664739884</v>
      </c>
      <c r="F373" s="17">
        <v>3.4682080924855488E-2</v>
      </c>
      <c r="G373" s="18">
        <v>242</v>
      </c>
      <c r="H373" s="17">
        <v>133</v>
      </c>
      <c r="I373" s="18">
        <v>126</v>
      </c>
      <c r="J373" s="17">
        <v>18</v>
      </c>
      <c r="K373" s="37">
        <v>519</v>
      </c>
      <c r="L373" s="76" t="s">
        <v>59</v>
      </c>
      <c r="M373" s="85">
        <v>-0.49177461862564098</v>
      </c>
      <c r="N373" s="19">
        <v>0.461346805095673</v>
      </c>
    </row>
    <row r="374" spans="1:14" x14ac:dyDescent="0.35">
      <c r="A374" s="92"/>
      <c r="B374" s="20" t="s">
        <v>25</v>
      </c>
      <c r="C374" s="21">
        <v>0.41520467836257308</v>
      </c>
      <c r="D374" s="20">
        <v>0.28654970760233922</v>
      </c>
      <c r="E374" s="21">
        <v>0.26608187134502931</v>
      </c>
      <c r="F374" s="20">
        <v>3.2163742690058478E-2</v>
      </c>
      <c r="G374" s="21">
        <v>142</v>
      </c>
      <c r="H374" s="20">
        <v>98</v>
      </c>
      <c r="I374" s="21">
        <v>91</v>
      </c>
      <c r="J374" s="20">
        <v>11</v>
      </c>
      <c r="K374" s="38">
        <v>342</v>
      </c>
      <c r="L374" s="77"/>
      <c r="M374" s="86"/>
      <c r="N374" s="22">
        <v>0.50047695636749301</v>
      </c>
    </row>
    <row r="375" spans="1:14" x14ac:dyDescent="0.35">
      <c r="A375" s="92"/>
      <c r="B375" s="20" t="s">
        <v>63</v>
      </c>
      <c r="C375" s="21">
        <v>0.50423728813559321</v>
      </c>
      <c r="D375" s="20">
        <v>0.28389830508474578</v>
      </c>
      <c r="E375" s="21">
        <v>0.1864406779661017</v>
      </c>
      <c r="F375" s="20">
        <v>2.542372881355932E-2</v>
      </c>
      <c r="G375" s="21">
        <v>119</v>
      </c>
      <c r="H375" s="20">
        <v>67</v>
      </c>
      <c r="I375" s="21">
        <v>44</v>
      </c>
      <c r="J375" s="20">
        <v>6</v>
      </c>
      <c r="K375" s="38">
        <v>236</v>
      </c>
      <c r="L375" s="77"/>
      <c r="M375" s="86"/>
      <c r="N375" s="22">
        <v>1.8783887848258001E-2</v>
      </c>
    </row>
    <row r="376" spans="1:14" x14ac:dyDescent="0.35">
      <c r="A376" s="92"/>
      <c r="B376" s="20" t="s">
        <v>380</v>
      </c>
      <c r="C376" s="21">
        <v>0.57974683544303796</v>
      </c>
      <c r="D376" s="20">
        <v>0.23544303797468349</v>
      </c>
      <c r="E376" s="21">
        <v>0.15949367088607591</v>
      </c>
      <c r="F376" s="20">
        <v>2.5316455696202531E-2</v>
      </c>
      <c r="G376" s="21">
        <v>229</v>
      </c>
      <c r="H376" s="20">
        <v>93</v>
      </c>
      <c r="I376" s="21">
        <v>63</v>
      </c>
      <c r="J376" s="20">
        <v>10</v>
      </c>
      <c r="K376" s="38">
        <v>395</v>
      </c>
      <c r="L376" s="77"/>
      <c r="M376" s="86"/>
      <c r="N376" s="22">
        <v>0.36187666654586798</v>
      </c>
    </row>
    <row r="377" spans="1:14" x14ac:dyDescent="0.35">
      <c r="A377" s="92"/>
      <c r="B377" s="20" t="s">
        <v>11</v>
      </c>
      <c r="C377" s="21">
        <v>0.5679012345679012</v>
      </c>
      <c r="D377" s="20">
        <v>0.1887125220458554</v>
      </c>
      <c r="E377" s="21">
        <v>0.19576719576719581</v>
      </c>
      <c r="F377" s="20">
        <v>4.7619047619047623E-2</v>
      </c>
      <c r="G377" s="21">
        <v>322</v>
      </c>
      <c r="H377" s="20">
        <v>107</v>
      </c>
      <c r="I377" s="21">
        <v>111</v>
      </c>
      <c r="J377" s="20">
        <v>27</v>
      </c>
      <c r="K377" s="38">
        <v>567</v>
      </c>
      <c r="L377" s="77"/>
      <c r="M377" s="86"/>
      <c r="N377" s="22">
        <v>0.43919563293456998</v>
      </c>
    </row>
    <row r="378" spans="1:14" x14ac:dyDescent="0.35">
      <c r="A378" s="92"/>
      <c r="B378" s="20" t="s">
        <v>21</v>
      </c>
      <c r="C378" s="21">
        <v>0.30263157894736842</v>
      </c>
      <c r="D378" s="20">
        <v>0.50328947368421051</v>
      </c>
      <c r="E378" s="21">
        <v>0.16118421052631579</v>
      </c>
      <c r="F378" s="20">
        <v>3.2894736842105261E-2</v>
      </c>
      <c r="G378" s="21">
        <v>184</v>
      </c>
      <c r="H378" s="20">
        <v>306</v>
      </c>
      <c r="I378" s="21">
        <v>98</v>
      </c>
      <c r="J378" s="20">
        <v>20</v>
      </c>
      <c r="K378" s="38">
        <v>608</v>
      </c>
      <c r="L378" s="77"/>
      <c r="M378" s="86"/>
      <c r="N378" s="22">
        <v>0.59563124179840099</v>
      </c>
    </row>
    <row r="379" spans="1:14" ht="16" thickBot="1" x14ac:dyDescent="0.4">
      <c r="A379" s="93"/>
      <c r="B379" s="26" t="s">
        <v>381</v>
      </c>
      <c r="C379" s="27">
        <v>0.38095238095238088</v>
      </c>
      <c r="D379" s="26">
        <v>0.27380952380952378</v>
      </c>
      <c r="E379" s="27">
        <v>0.31845238095238088</v>
      </c>
      <c r="F379" s="26">
        <v>2.6785714285714281E-2</v>
      </c>
      <c r="G379" s="27">
        <v>128</v>
      </c>
      <c r="H379" s="26">
        <v>92</v>
      </c>
      <c r="I379" s="27">
        <v>107</v>
      </c>
      <c r="J379" s="26">
        <v>9</v>
      </c>
      <c r="K379" s="39">
        <v>336</v>
      </c>
      <c r="L379" s="78"/>
      <c r="M379" s="87"/>
      <c r="N379" s="28">
        <v>0.26991477608680697</v>
      </c>
    </row>
    <row r="380" spans="1:14" x14ac:dyDescent="0.35">
      <c r="A380" s="88" t="s">
        <v>435</v>
      </c>
      <c r="B380" s="8" t="s">
        <v>29</v>
      </c>
      <c r="C380" s="9">
        <v>0.48747591522158001</v>
      </c>
      <c r="D380" s="8">
        <v>0.41425818882466281</v>
      </c>
      <c r="E380" s="9">
        <v>2.6974951830443159E-2</v>
      </c>
      <c r="F380" s="8">
        <v>7.1290944123314062E-2</v>
      </c>
      <c r="G380" s="9">
        <v>253</v>
      </c>
      <c r="H380" s="8">
        <v>215</v>
      </c>
      <c r="I380" s="9">
        <v>14</v>
      </c>
      <c r="J380" s="8">
        <v>37</v>
      </c>
      <c r="K380" s="34">
        <v>519</v>
      </c>
      <c r="L380" s="79" t="s">
        <v>19</v>
      </c>
      <c r="M380" s="82">
        <v>-0.38631951808929399</v>
      </c>
      <c r="N380" s="10">
        <v>0.40095955133438099</v>
      </c>
    </row>
    <row r="381" spans="1:14" x14ac:dyDescent="0.35">
      <c r="A381" s="89"/>
      <c r="B381" s="11" t="s">
        <v>25</v>
      </c>
      <c r="C381" s="12">
        <v>0.34502923976608191</v>
      </c>
      <c r="D381" s="11">
        <v>0.3888888888888889</v>
      </c>
      <c r="E381" s="12">
        <v>0.19883040935672511</v>
      </c>
      <c r="F381" s="11">
        <v>6.725146198830409E-2</v>
      </c>
      <c r="G381" s="12">
        <v>118</v>
      </c>
      <c r="H381" s="11">
        <v>133</v>
      </c>
      <c r="I381" s="12">
        <v>68</v>
      </c>
      <c r="J381" s="11">
        <v>23</v>
      </c>
      <c r="K381" s="35">
        <v>342</v>
      </c>
      <c r="L381" s="80"/>
      <c r="M381" s="83"/>
      <c r="N381" s="13">
        <v>0.228707849979401</v>
      </c>
    </row>
    <row r="382" spans="1:14" x14ac:dyDescent="0.35">
      <c r="A382" s="89"/>
      <c r="B382" s="11" t="s">
        <v>63</v>
      </c>
      <c r="C382" s="12">
        <v>0.34745762711864409</v>
      </c>
      <c r="D382" s="11">
        <v>0.34322033898305082</v>
      </c>
      <c r="E382" s="12">
        <v>0.22457627118644069</v>
      </c>
      <c r="F382" s="11">
        <v>8.4745762711864403E-2</v>
      </c>
      <c r="G382" s="12">
        <v>82</v>
      </c>
      <c r="H382" s="11">
        <v>81</v>
      </c>
      <c r="I382" s="12">
        <v>53</v>
      </c>
      <c r="J382" s="11">
        <v>20</v>
      </c>
      <c r="K382" s="35">
        <v>236</v>
      </c>
      <c r="L382" s="80"/>
      <c r="M382" s="83"/>
      <c r="N382" s="13">
        <v>-0.12549340724945099</v>
      </c>
    </row>
    <row r="383" spans="1:14" x14ac:dyDescent="0.35">
      <c r="A383" s="89"/>
      <c r="B383" s="11" t="s">
        <v>380</v>
      </c>
      <c r="C383" s="12">
        <v>0.57974683544303796</v>
      </c>
      <c r="D383" s="11">
        <v>0.25822784810126581</v>
      </c>
      <c r="E383" s="12">
        <v>0.1316455696202532</v>
      </c>
      <c r="F383" s="11">
        <v>3.037974683544304E-2</v>
      </c>
      <c r="G383" s="12">
        <v>229</v>
      </c>
      <c r="H383" s="11">
        <v>102</v>
      </c>
      <c r="I383" s="12">
        <v>52</v>
      </c>
      <c r="J383" s="11">
        <v>12</v>
      </c>
      <c r="K383" s="35">
        <v>395</v>
      </c>
      <c r="L383" s="80"/>
      <c r="M383" s="83"/>
      <c r="N383" s="13">
        <v>0.33533430099487299</v>
      </c>
    </row>
    <row r="384" spans="1:14" x14ac:dyDescent="0.35">
      <c r="A384" s="89"/>
      <c r="B384" s="11" t="s">
        <v>11</v>
      </c>
      <c r="C384" s="12">
        <v>0.48853615520282179</v>
      </c>
      <c r="D384" s="11">
        <v>0.29100529100529099</v>
      </c>
      <c r="E384" s="12">
        <v>0.1534391534391534</v>
      </c>
      <c r="F384" s="11">
        <v>6.7019400352733682E-2</v>
      </c>
      <c r="G384" s="12">
        <v>277</v>
      </c>
      <c r="H384" s="11">
        <v>165</v>
      </c>
      <c r="I384" s="12">
        <v>87</v>
      </c>
      <c r="J384" s="11">
        <v>38</v>
      </c>
      <c r="K384" s="35">
        <v>567</v>
      </c>
      <c r="L384" s="80"/>
      <c r="M384" s="83"/>
      <c r="N384" s="13">
        <v>0.29524400830268899</v>
      </c>
    </row>
    <row r="385" spans="1:14" x14ac:dyDescent="0.35">
      <c r="A385" s="89"/>
      <c r="B385" s="11" t="s">
        <v>21</v>
      </c>
      <c r="C385" s="12">
        <v>0.32236842105263158</v>
      </c>
      <c r="D385" s="11">
        <v>0.55263157894736847</v>
      </c>
      <c r="E385" s="12">
        <v>5.0986842105263157E-2</v>
      </c>
      <c r="F385" s="11">
        <v>7.4013157894736836E-2</v>
      </c>
      <c r="G385" s="12">
        <v>196</v>
      </c>
      <c r="H385" s="11">
        <v>336</v>
      </c>
      <c r="I385" s="12">
        <v>31</v>
      </c>
      <c r="J385" s="11">
        <v>45</v>
      </c>
      <c r="K385" s="35">
        <v>608</v>
      </c>
      <c r="L385" s="80"/>
      <c r="M385" s="83"/>
      <c r="N385" s="13">
        <v>0.528253614902496</v>
      </c>
    </row>
    <row r="386" spans="1:14" ht="16" thickBot="1" x14ac:dyDescent="0.4">
      <c r="A386" s="90"/>
      <c r="B386" s="14" t="s">
        <v>381</v>
      </c>
      <c r="C386" s="15">
        <v>0.4107142857142857</v>
      </c>
      <c r="D386" s="14">
        <v>0.27083333333333331</v>
      </c>
      <c r="E386" s="15">
        <v>0.16666666666666671</v>
      </c>
      <c r="F386" s="14">
        <v>0.1517857142857143</v>
      </c>
      <c r="G386" s="15">
        <v>138</v>
      </c>
      <c r="H386" s="14">
        <v>91</v>
      </c>
      <c r="I386" s="15">
        <v>56</v>
      </c>
      <c r="J386" s="14">
        <v>51</v>
      </c>
      <c r="K386" s="36">
        <v>336</v>
      </c>
      <c r="L386" s="81"/>
      <c r="M386" s="84"/>
      <c r="N386" s="16">
        <v>0.27299579977989202</v>
      </c>
    </row>
    <row r="387" spans="1:14" x14ac:dyDescent="0.35">
      <c r="A387" s="91" t="s">
        <v>436</v>
      </c>
      <c r="B387" s="17" t="s">
        <v>29</v>
      </c>
      <c r="C387" s="18">
        <v>0.27167630057803471</v>
      </c>
      <c r="D387" s="17">
        <v>0.50289017341040465</v>
      </c>
      <c r="E387" s="18">
        <v>0.2177263969171484</v>
      </c>
      <c r="F387" s="17">
        <v>7.7071290944123313E-3</v>
      </c>
      <c r="G387" s="18">
        <v>141</v>
      </c>
      <c r="H387" s="17">
        <v>261</v>
      </c>
      <c r="I387" s="18">
        <v>113</v>
      </c>
      <c r="J387" s="17">
        <v>4</v>
      </c>
      <c r="K387" s="37">
        <v>519</v>
      </c>
      <c r="L387" s="76" t="s">
        <v>36</v>
      </c>
      <c r="M387" s="85">
        <v>0.79333102703094505</v>
      </c>
      <c r="N387" s="19">
        <v>-0.94663518667221103</v>
      </c>
    </row>
    <row r="388" spans="1:14" x14ac:dyDescent="0.35">
      <c r="A388" s="92"/>
      <c r="B388" s="20" t="s">
        <v>25</v>
      </c>
      <c r="C388" s="21">
        <v>0.23684210526315791</v>
      </c>
      <c r="D388" s="20">
        <v>0.52339181286549707</v>
      </c>
      <c r="E388" s="21">
        <v>0.22222222222222221</v>
      </c>
      <c r="F388" s="20">
        <v>1.754385964912281E-2</v>
      </c>
      <c r="G388" s="21">
        <v>81</v>
      </c>
      <c r="H388" s="20">
        <v>179</v>
      </c>
      <c r="I388" s="21">
        <v>76</v>
      </c>
      <c r="J388" s="20">
        <v>6</v>
      </c>
      <c r="K388" s="38">
        <v>342</v>
      </c>
      <c r="L388" s="77"/>
      <c r="M388" s="86"/>
      <c r="N388" s="22">
        <v>-0.78750580549240101</v>
      </c>
    </row>
    <row r="389" spans="1:14" x14ac:dyDescent="0.35">
      <c r="A389" s="92"/>
      <c r="B389" s="20" t="s">
        <v>63</v>
      </c>
      <c r="C389" s="21">
        <v>0.19067796610169491</v>
      </c>
      <c r="D389" s="20">
        <v>0.57627118644067798</v>
      </c>
      <c r="E389" s="21">
        <v>0.22033898305084751</v>
      </c>
      <c r="F389" s="20">
        <v>1.271186440677966E-2</v>
      </c>
      <c r="G389" s="21">
        <v>45</v>
      </c>
      <c r="H389" s="20">
        <v>136</v>
      </c>
      <c r="I389" s="21">
        <v>52</v>
      </c>
      <c r="J389" s="20">
        <v>3</v>
      </c>
      <c r="K389" s="38">
        <v>236</v>
      </c>
      <c r="L389" s="77"/>
      <c r="M389" s="86"/>
      <c r="N389" s="22">
        <v>-0.89633095264434803</v>
      </c>
    </row>
    <row r="390" spans="1:14" x14ac:dyDescent="0.35">
      <c r="A390" s="92"/>
      <c r="B390" s="20" t="s">
        <v>380</v>
      </c>
      <c r="C390" s="21">
        <v>0.2481012658227848</v>
      </c>
      <c r="D390" s="20">
        <v>0.52405063291139242</v>
      </c>
      <c r="E390" s="21">
        <v>0.21265822784810129</v>
      </c>
      <c r="F390" s="20">
        <v>1.518987341772152E-2</v>
      </c>
      <c r="G390" s="21">
        <v>98</v>
      </c>
      <c r="H390" s="20">
        <v>207</v>
      </c>
      <c r="I390" s="21">
        <v>84</v>
      </c>
      <c r="J390" s="20">
        <v>6</v>
      </c>
      <c r="K390" s="38">
        <v>395</v>
      </c>
      <c r="L390" s="77"/>
      <c r="M390" s="86"/>
      <c r="N390" s="22">
        <v>-0.86879920959472701</v>
      </c>
    </row>
    <row r="391" spans="1:14" x14ac:dyDescent="0.35">
      <c r="A391" s="92"/>
      <c r="B391" s="20" t="s">
        <v>11</v>
      </c>
      <c r="C391" s="21">
        <v>0.2821869488536155</v>
      </c>
      <c r="D391" s="20">
        <v>0.49206349206349198</v>
      </c>
      <c r="E391" s="21">
        <v>0.21693121693121689</v>
      </c>
      <c r="F391" s="20">
        <v>8.8183421516754845E-3</v>
      </c>
      <c r="G391" s="21">
        <v>160</v>
      </c>
      <c r="H391" s="20">
        <v>279</v>
      </c>
      <c r="I391" s="21">
        <v>123</v>
      </c>
      <c r="J391" s="20">
        <v>5</v>
      </c>
      <c r="K391" s="38">
        <v>567</v>
      </c>
      <c r="L391" s="77"/>
      <c r="M391" s="86"/>
      <c r="N391" s="22">
        <v>-0.38229960203170799</v>
      </c>
    </row>
    <row r="392" spans="1:14" x14ac:dyDescent="0.35">
      <c r="A392" s="92"/>
      <c r="B392" s="20" t="s">
        <v>21</v>
      </c>
      <c r="C392" s="21">
        <v>0.55263157894736847</v>
      </c>
      <c r="D392" s="20">
        <v>0.25986842105263158</v>
      </c>
      <c r="E392" s="21">
        <v>0.1792763157894737</v>
      </c>
      <c r="F392" s="20">
        <v>8.2236842105263153E-3</v>
      </c>
      <c r="G392" s="21">
        <v>336</v>
      </c>
      <c r="H392" s="20">
        <v>158</v>
      </c>
      <c r="I392" s="21">
        <v>109</v>
      </c>
      <c r="J392" s="20">
        <v>5</v>
      </c>
      <c r="K392" s="38">
        <v>608</v>
      </c>
      <c r="L392" s="77"/>
      <c r="M392" s="86"/>
      <c r="N392" s="22">
        <v>-0.773445725440979</v>
      </c>
    </row>
    <row r="393" spans="1:14" ht="16" thickBot="1" x14ac:dyDescent="0.4">
      <c r="A393" s="93"/>
      <c r="B393" s="26" t="s">
        <v>381</v>
      </c>
      <c r="C393" s="27">
        <v>0.2767857142857143</v>
      </c>
      <c r="D393" s="26">
        <v>0.5267857142857143</v>
      </c>
      <c r="E393" s="27">
        <v>0.1964285714285714</v>
      </c>
      <c r="F393" s="26">
        <v>0</v>
      </c>
      <c r="G393" s="27">
        <v>93</v>
      </c>
      <c r="H393" s="26">
        <v>177</v>
      </c>
      <c r="I393" s="27">
        <v>66</v>
      </c>
      <c r="J393" s="26">
        <v>0</v>
      </c>
      <c r="K393" s="39">
        <v>336</v>
      </c>
      <c r="L393" s="78"/>
      <c r="M393" s="87"/>
      <c r="N393" s="28">
        <v>-0.74888253211975098</v>
      </c>
    </row>
    <row r="394" spans="1:14" x14ac:dyDescent="0.35">
      <c r="A394" s="88" t="s">
        <v>437</v>
      </c>
      <c r="B394" s="8" t="s">
        <v>29</v>
      </c>
      <c r="C394" s="9">
        <v>0.47784200385356462</v>
      </c>
      <c r="D394" s="8">
        <v>0.46435452793834298</v>
      </c>
      <c r="E394" s="9">
        <v>3.0828516377649329E-2</v>
      </c>
      <c r="F394" s="8">
        <v>2.6974951830443159E-2</v>
      </c>
      <c r="G394" s="9">
        <v>248</v>
      </c>
      <c r="H394" s="8">
        <v>241</v>
      </c>
      <c r="I394" s="9">
        <v>16</v>
      </c>
      <c r="J394" s="8">
        <v>14</v>
      </c>
      <c r="K394" s="34">
        <v>519</v>
      </c>
      <c r="L394" s="79" t="s">
        <v>19</v>
      </c>
      <c r="M394" s="82">
        <v>-0.36765170097351102</v>
      </c>
      <c r="N394" s="10">
        <v>0.399139374494553</v>
      </c>
    </row>
    <row r="395" spans="1:14" x14ac:dyDescent="0.35">
      <c r="A395" s="89"/>
      <c r="B395" s="11" t="s">
        <v>25</v>
      </c>
      <c r="C395" s="12">
        <v>0.32456140350877188</v>
      </c>
      <c r="D395" s="11">
        <v>0.51169590643274854</v>
      </c>
      <c r="E395" s="12">
        <v>0.1637426900584795</v>
      </c>
      <c r="F395" s="11">
        <v>0</v>
      </c>
      <c r="G395" s="12">
        <v>111</v>
      </c>
      <c r="H395" s="11">
        <v>175</v>
      </c>
      <c r="I395" s="12">
        <v>56</v>
      </c>
      <c r="J395" s="11">
        <v>0</v>
      </c>
      <c r="K395" s="35">
        <v>342</v>
      </c>
      <c r="L395" s="80"/>
      <c r="M395" s="83"/>
      <c r="N395" s="13">
        <v>0.24104565382003801</v>
      </c>
    </row>
    <row r="396" spans="1:14" x14ac:dyDescent="0.35">
      <c r="A396" s="89"/>
      <c r="B396" s="11" t="s">
        <v>63</v>
      </c>
      <c r="C396" s="12">
        <v>0.24576271186440679</v>
      </c>
      <c r="D396" s="11">
        <v>0.52542372881355937</v>
      </c>
      <c r="E396" s="12">
        <v>0.2288135593220339</v>
      </c>
      <c r="F396" s="11">
        <v>0</v>
      </c>
      <c r="G396" s="12">
        <v>58</v>
      </c>
      <c r="H396" s="11">
        <v>124</v>
      </c>
      <c r="I396" s="12">
        <v>54</v>
      </c>
      <c r="J396" s="11">
        <v>0</v>
      </c>
      <c r="K396" s="35">
        <v>236</v>
      </c>
      <c r="L396" s="80"/>
      <c r="M396" s="83"/>
      <c r="N396" s="13">
        <v>-0.18148694932460799</v>
      </c>
    </row>
    <row r="397" spans="1:14" x14ac:dyDescent="0.35">
      <c r="A397" s="89"/>
      <c r="B397" s="11" t="s">
        <v>380</v>
      </c>
      <c r="C397" s="12">
        <v>0.55949367088607593</v>
      </c>
      <c r="D397" s="11">
        <v>0.30886075949367092</v>
      </c>
      <c r="E397" s="12">
        <v>0.11898734177215189</v>
      </c>
      <c r="F397" s="11">
        <v>1.2658227848101271E-2</v>
      </c>
      <c r="G397" s="12">
        <v>221</v>
      </c>
      <c r="H397" s="11">
        <v>122</v>
      </c>
      <c r="I397" s="12">
        <v>47</v>
      </c>
      <c r="J397" s="11">
        <v>5</v>
      </c>
      <c r="K397" s="35">
        <v>395</v>
      </c>
      <c r="L397" s="80"/>
      <c r="M397" s="83"/>
      <c r="N397" s="13">
        <v>0.29473134875297502</v>
      </c>
    </row>
    <row r="398" spans="1:14" x14ac:dyDescent="0.35">
      <c r="A398" s="89"/>
      <c r="B398" s="11" t="s">
        <v>11</v>
      </c>
      <c r="C398" s="12">
        <v>0.48853615520282179</v>
      </c>
      <c r="D398" s="11">
        <v>0.37037037037037029</v>
      </c>
      <c r="E398" s="12">
        <v>0.14109347442680781</v>
      </c>
      <c r="F398" s="11">
        <v>0</v>
      </c>
      <c r="G398" s="12">
        <v>277</v>
      </c>
      <c r="H398" s="11">
        <v>210</v>
      </c>
      <c r="I398" s="12">
        <v>80</v>
      </c>
      <c r="J398" s="11">
        <v>0</v>
      </c>
      <c r="K398" s="35">
        <v>567</v>
      </c>
      <c r="L398" s="80"/>
      <c r="M398" s="83"/>
      <c r="N398" s="13">
        <v>0.31257846951484702</v>
      </c>
    </row>
    <row r="399" spans="1:14" x14ac:dyDescent="0.35">
      <c r="A399" s="89"/>
      <c r="B399" s="11" t="s">
        <v>21</v>
      </c>
      <c r="C399" s="12">
        <v>0.29934210526315791</v>
      </c>
      <c r="D399" s="11">
        <v>0.61677631578947367</v>
      </c>
      <c r="E399" s="12">
        <v>7.2368421052631582E-2</v>
      </c>
      <c r="F399" s="11">
        <v>1.151315789473684E-2</v>
      </c>
      <c r="G399" s="12">
        <v>182</v>
      </c>
      <c r="H399" s="11">
        <v>375</v>
      </c>
      <c r="I399" s="12">
        <v>44</v>
      </c>
      <c r="J399" s="11">
        <v>7</v>
      </c>
      <c r="K399" s="35">
        <v>608</v>
      </c>
      <c r="L399" s="80"/>
      <c r="M399" s="83"/>
      <c r="N399" s="13">
        <v>0.52692067623138406</v>
      </c>
    </row>
    <row r="400" spans="1:14" ht="16" thickBot="1" x14ac:dyDescent="0.4">
      <c r="A400" s="90"/>
      <c r="B400" s="14" t="s">
        <v>381</v>
      </c>
      <c r="C400" s="15">
        <v>0.33630952380952378</v>
      </c>
      <c r="D400" s="14">
        <v>0.44345238095238088</v>
      </c>
      <c r="E400" s="15">
        <v>0.20535714285714279</v>
      </c>
      <c r="F400" s="14">
        <v>1.488095238095238E-2</v>
      </c>
      <c r="G400" s="15">
        <v>113</v>
      </c>
      <c r="H400" s="14">
        <v>149</v>
      </c>
      <c r="I400" s="15">
        <v>69</v>
      </c>
      <c r="J400" s="14">
        <v>5</v>
      </c>
      <c r="K400" s="36">
        <v>336</v>
      </c>
      <c r="L400" s="81"/>
      <c r="M400" s="84"/>
      <c r="N400" s="16">
        <v>0.191804304718971</v>
      </c>
    </row>
    <row r="401" spans="1:14" x14ac:dyDescent="0.35">
      <c r="A401" s="91" t="s">
        <v>438</v>
      </c>
      <c r="B401" s="17" t="s">
        <v>29</v>
      </c>
      <c r="C401" s="18">
        <v>0.25433526011560692</v>
      </c>
      <c r="D401" s="17">
        <v>0.46050096339113678</v>
      </c>
      <c r="E401" s="18">
        <v>0.19460500963391139</v>
      </c>
      <c r="F401" s="17">
        <v>9.05587668593449E-2</v>
      </c>
      <c r="G401" s="18">
        <v>132</v>
      </c>
      <c r="H401" s="17">
        <v>239</v>
      </c>
      <c r="I401" s="18">
        <v>101</v>
      </c>
      <c r="J401" s="17">
        <v>47</v>
      </c>
      <c r="K401" s="37">
        <v>519</v>
      </c>
      <c r="L401" s="76" t="s">
        <v>36</v>
      </c>
      <c r="M401" s="85">
        <v>0.91466218233108498</v>
      </c>
      <c r="N401" s="19">
        <v>-0.947889804840088</v>
      </c>
    </row>
    <row r="402" spans="1:14" x14ac:dyDescent="0.35">
      <c r="A402" s="92"/>
      <c r="B402" s="20" t="s">
        <v>25</v>
      </c>
      <c r="C402" s="21">
        <v>0.20760233918128651</v>
      </c>
      <c r="D402" s="20">
        <v>0.59064327485380119</v>
      </c>
      <c r="E402" s="21">
        <v>0.1871345029239766</v>
      </c>
      <c r="F402" s="20">
        <v>1.461988304093567E-2</v>
      </c>
      <c r="G402" s="21">
        <v>71</v>
      </c>
      <c r="H402" s="20">
        <v>202</v>
      </c>
      <c r="I402" s="21">
        <v>64</v>
      </c>
      <c r="J402" s="20">
        <v>5</v>
      </c>
      <c r="K402" s="38">
        <v>342</v>
      </c>
      <c r="L402" s="77"/>
      <c r="M402" s="86"/>
      <c r="N402" s="22">
        <v>-0.85204386711120605</v>
      </c>
    </row>
    <row r="403" spans="1:14" x14ac:dyDescent="0.35">
      <c r="A403" s="92"/>
      <c r="B403" s="20" t="s">
        <v>63</v>
      </c>
      <c r="C403" s="21">
        <v>0.1101694915254237</v>
      </c>
      <c r="D403" s="20">
        <v>0.5423728813559322</v>
      </c>
      <c r="E403" s="21">
        <v>0.13559322033898311</v>
      </c>
      <c r="F403" s="20">
        <v>0.21186440677966101</v>
      </c>
      <c r="G403" s="21">
        <v>26</v>
      </c>
      <c r="H403" s="20">
        <v>128</v>
      </c>
      <c r="I403" s="21">
        <v>32</v>
      </c>
      <c r="J403" s="20">
        <v>50</v>
      </c>
      <c r="K403" s="38">
        <v>236</v>
      </c>
      <c r="L403" s="77"/>
      <c r="M403" s="86"/>
      <c r="N403" s="22">
        <v>-0.98563504219055198</v>
      </c>
    </row>
    <row r="404" spans="1:14" x14ac:dyDescent="0.35">
      <c r="A404" s="92"/>
      <c r="B404" s="20" t="s">
        <v>380</v>
      </c>
      <c r="C404" s="21">
        <v>0.2</v>
      </c>
      <c r="D404" s="20">
        <v>0.55696202531645567</v>
      </c>
      <c r="E404" s="21">
        <v>0.17721518987341769</v>
      </c>
      <c r="F404" s="20">
        <v>6.5822784810126586E-2</v>
      </c>
      <c r="G404" s="21">
        <v>79</v>
      </c>
      <c r="H404" s="20">
        <v>220</v>
      </c>
      <c r="I404" s="21">
        <v>70</v>
      </c>
      <c r="J404" s="20">
        <v>26</v>
      </c>
      <c r="K404" s="38">
        <v>395</v>
      </c>
      <c r="L404" s="77"/>
      <c r="M404" s="86"/>
      <c r="N404" s="22">
        <v>-0.91765719652175903</v>
      </c>
    </row>
    <row r="405" spans="1:14" x14ac:dyDescent="0.35">
      <c r="A405" s="92"/>
      <c r="B405" s="20" t="s">
        <v>11</v>
      </c>
      <c r="C405" s="21">
        <v>0.18342151675485011</v>
      </c>
      <c r="D405" s="20">
        <v>0.52028218694885364</v>
      </c>
      <c r="E405" s="21">
        <v>0.20811287477954141</v>
      </c>
      <c r="F405" s="20">
        <v>8.8183421516754845E-2</v>
      </c>
      <c r="G405" s="21">
        <v>104</v>
      </c>
      <c r="H405" s="20">
        <v>295</v>
      </c>
      <c r="I405" s="21">
        <v>118</v>
      </c>
      <c r="J405" s="20">
        <v>50</v>
      </c>
      <c r="K405" s="38">
        <v>567</v>
      </c>
      <c r="L405" s="77"/>
      <c r="M405" s="86"/>
      <c r="N405" s="22">
        <v>-0.49327579140663103</v>
      </c>
    </row>
    <row r="406" spans="1:14" x14ac:dyDescent="0.35">
      <c r="A406" s="92"/>
      <c r="B406" s="20" t="s">
        <v>21</v>
      </c>
      <c r="C406" s="21">
        <v>0.48190789473684209</v>
      </c>
      <c r="D406" s="20">
        <v>0.33388157894736842</v>
      </c>
      <c r="E406" s="21">
        <v>0.16118421052631579</v>
      </c>
      <c r="F406" s="20">
        <v>2.3026315789473679E-2</v>
      </c>
      <c r="G406" s="21">
        <v>293</v>
      </c>
      <c r="H406" s="20">
        <v>203</v>
      </c>
      <c r="I406" s="21">
        <v>98</v>
      </c>
      <c r="J406" s="20">
        <v>14</v>
      </c>
      <c r="K406" s="38">
        <v>608</v>
      </c>
      <c r="L406" s="77"/>
      <c r="M406" s="86"/>
      <c r="N406" s="22">
        <v>-0.93082422018051103</v>
      </c>
    </row>
    <row r="407" spans="1:14" ht="16" thickBot="1" x14ac:dyDescent="0.4">
      <c r="A407" s="93"/>
      <c r="B407" s="26" t="s">
        <v>381</v>
      </c>
      <c r="C407" s="27">
        <v>0.1607142857142857</v>
      </c>
      <c r="D407" s="26">
        <v>0.61011904761904767</v>
      </c>
      <c r="E407" s="27">
        <v>0.19345238095238099</v>
      </c>
      <c r="F407" s="26">
        <v>3.5714285714285712E-2</v>
      </c>
      <c r="G407" s="27">
        <v>54</v>
      </c>
      <c r="H407" s="26">
        <v>205</v>
      </c>
      <c r="I407" s="27">
        <v>65</v>
      </c>
      <c r="J407" s="26">
        <v>12</v>
      </c>
      <c r="K407" s="39">
        <v>336</v>
      </c>
      <c r="L407" s="78"/>
      <c r="M407" s="87"/>
      <c r="N407" s="28">
        <v>-0.92769336700439498</v>
      </c>
    </row>
    <row r="408" spans="1:14" x14ac:dyDescent="0.35">
      <c r="A408" s="88" t="s">
        <v>439</v>
      </c>
      <c r="B408" s="8" t="s">
        <v>29</v>
      </c>
      <c r="C408" s="9">
        <v>0.33718689788053952</v>
      </c>
      <c r="D408" s="8">
        <v>0.30635838150289019</v>
      </c>
      <c r="E408" s="9">
        <v>0.33333333333333331</v>
      </c>
      <c r="F408" s="8">
        <v>2.312138728323699E-2</v>
      </c>
      <c r="G408" s="9">
        <v>175</v>
      </c>
      <c r="H408" s="8">
        <v>159</v>
      </c>
      <c r="I408" s="9">
        <v>173</v>
      </c>
      <c r="J408" s="8">
        <v>12</v>
      </c>
      <c r="K408" s="34">
        <v>519</v>
      </c>
      <c r="L408" s="79" t="s">
        <v>36</v>
      </c>
      <c r="M408" s="82">
        <v>0.380888402462006</v>
      </c>
      <c r="N408" s="10">
        <v>-0.53590887784957897</v>
      </c>
    </row>
    <row r="409" spans="1:14" x14ac:dyDescent="0.35">
      <c r="A409" s="89"/>
      <c r="B409" s="11" t="s">
        <v>25</v>
      </c>
      <c r="C409" s="12">
        <v>0.35672514619883039</v>
      </c>
      <c r="D409" s="11">
        <v>0.28654970760233922</v>
      </c>
      <c r="E409" s="12">
        <v>0.34502923976608191</v>
      </c>
      <c r="F409" s="11">
        <v>1.1695906432748541E-2</v>
      </c>
      <c r="G409" s="12">
        <v>122</v>
      </c>
      <c r="H409" s="11">
        <v>98</v>
      </c>
      <c r="I409" s="12">
        <v>118</v>
      </c>
      <c r="J409" s="11">
        <v>4</v>
      </c>
      <c r="K409" s="35">
        <v>342</v>
      </c>
      <c r="L409" s="80"/>
      <c r="M409" s="83"/>
      <c r="N409" s="13">
        <v>-0.26058030128478998</v>
      </c>
    </row>
    <row r="410" spans="1:14" x14ac:dyDescent="0.35">
      <c r="A410" s="89"/>
      <c r="B410" s="11" t="s">
        <v>63</v>
      </c>
      <c r="C410" s="12">
        <v>0.26694915254237289</v>
      </c>
      <c r="D410" s="11">
        <v>0.3347457627118644</v>
      </c>
      <c r="E410" s="12">
        <v>0.30508474576271188</v>
      </c>
      <c r="F410" s="11">
        <v>9.3220338983050849E-2</v>
      </c>
      <c r="G410" s="12">
        <v>63</v>
      </c>
      <c r="H410" s="11">
        <v>79</v>
      </c>
      <c r="I410" s="12">
        <v>72</v>
      </c>
      <c r="J410" s="11">
        <v>22</v>
      </c>
      <c r="K410" s="35">
        <v>236</v>
      </c>
      <c r="L410" s="80"/>
      <c r="M410" s="83"/>
      <c r="N410" s="13">
        <v>-0.64465665817260698</v>
      </c>
    </row>
    <row r="411" spans="1:14" x14ac:dyDescent="0.35">
      <c r="A411" s="89"/>
      <c r="B411" s="11" t="s">
        <v>380</v>
      </c>
      <c r="C411" s="12">
        <v>0.41012658227848098</v>
      </c>
      <c r="D411" s="11">
        <v>0.2810126582278481</v>
      </c>
      <c r="E411" s="12">
        <v>0.28607594936708858</v>
      </c>
      <c r="F411" s="11">
        <v>2.2784810126582278E-2</v>
      </c>
      <c r="G411" s="12">
        <v>162</v>
      </c>
      <c r="H411" s="11">
        <v>111</v>
      </c>
      <c r="I411" s="12">
        <v>113</v>
      </c>
      <c r="J411" s="11">
        <v>9</v>
      </c>
      <c r="K411" s="35">
        <v>395</v>
      </c>
      <c r="L411" s="80"/>
      <c r="M411" s="83"/>
      <c r="N411" s="13">
        <v>-0.39796340465545699</v>
      </c>
    </row>
    <row r="412" spans="1:14" x14ac:dyDescent="0.35">
      <c r="A412" s="89"/>
      <c r="B412" s="11" t="s">
        <v>11</v>
      </c>
      <c r="C412" s="12">
        <v>0.37566137566137559</v>
      </c>
      <c r="D412" s="11">
        <v>0.25749559082892409</v>
      </c>
      <c r="E412" s="12">
        <v>0.31746031746031739</v>
      </c>
      <c r="F412" s="11">
        <v>4.9382716049382713E-2</v>
      </c>
      <c r="G412" s="12">
        <v>213</v>
      </c>
      <c r="H412" s="11">
        <v>146</v>
      </c>
      <c r="I412" s="12">
        <v>180</v>
      </c>
      <c r="J412" s="11">
        <v>28</v>
      </c>
      <c r="K412" s="35">
        <v>567</v>
      </c>
      <c r="L412" s="80"/>
      <c r="M412" s="83"/>
      <c r="N412" s="13">
        <v>-0.104104124009609</v>
      </c>
    </row>
    <row r="413" spans="1:14" x14ac:dyDescent="0.35">
      <c r="A413" s="89"/>
      <c r="B413" s="11" t="s">
        <v>21</v>
      </c>
      <c r="C413" s="12">
        <v>0.51973684210526316</v>
      </c>
      <c r="D413" s="11">
        <v>0.1726973684210526</v>
      </c>
      <c r="E413" s="12">
        <v>0.26809210526315791</v>
      </c>
      <c r="F413" s="11">
        <v>3.9473684210526307E-2</v>
      </c>
      <c r="G413" s="12">
        <v>316</v>
      </c>
      <c r="H413" s="11">
        <v>105</v>
      </c>
      <c r="I413" s="12">
        <v>163</v>
      </c>
      <c r="J413" s="11">
        <v>24</v>
      </c>
      <c r="K413" s="35">
        <v>608</v>
      </c>
      <c r="L413" s="80"/>
      <c r="M413" s="83"/>
      <c r="N413" s="13">
        <v>-0.38942611217498802</v>
      </c>
    </row>
    <row r="414" spans="1:14" ht="16" thickBot="1" x14ac:dyDescent="0.4">
      <c r="A414" s="90"/>
      <c r="B414" s="14" t="s">
        <v>381</v>
      </c>
      <c r="C414" s="15">
        <v>0.35416666666666669</v>
      </c>
      <c r="D414" s="14">
        <v>0.20833333333333329</v>
      </c>
      <c r="E414" s="15">
        <v>0.40476190476190482</v>
      </c>
      <c r="F414" s="14">
        <v>3.273809523809524E-2</v>
      </c>
      <c r="G414" s="15">
        <v>119</v>
      </c>
      <c r="H414" s="14">
        <v>70</v>
      </c>
      <c r="I414" s="15">
        <v>136</v>
      </c>
      <c r="J414" s="14">
        <v>11</v>
      </c>
      <c r="K414" s="36">
        <v>336</v>
      </c>
      <c r="L414" s="81"/>
      <c r="M414" s="84"/>
      <c r="N414" s="16">
        <v>-0.49365949630737299</v>
      </c>
    </row>
    <row r="415" spans="1:14" x14ac:dyDescent="0.35">
      <c r="A415" s="91" t="s">
        <v>440</v>
      </c>
      <c r="B415" s="17" t="s">
        <v>29</v>
      </c>
      <c r="C415" s="18">
        <v>0.60886319845857417</v>
      </c>
      <c r="D415" s="17">
        <v>0.37572254335260108</v>
      </c>
      <c r="E415" s="18">
        <v>0</v>
      </c>
      <c r="F415" s="17">
        <v>1.5414258188824659E-2</v>
      </c>
      <c r="G415" s="18">
        <v>316</v>
      </c>
      <c r="H415" s="17">
        <v>195</v>
      </c>
      <c r="I415" s="18">
        <v>0</v>
      </c>
      <c r="J415" s="17">
        <v>8</v>
      </c>
      <c r="K415" s="37">
        <v>519</v>
      </c>
      <c r="L415" s="76" t="s">
        <v>53</v>
      </c>
      <c r="M415" s="85">
        <v>-0.76842117309570301</v>
      </c>
      <c r="N415" s="19">
        <v>0.88984000682830799</v>
      </c>
    </row>
    <row r="416" spans="1:14" x14ac:dyDescent="0.35">
      <c r="A416" s="92"/>
      <c r="B416" s="20" t="s">
        <v>25</v>
      </c>
      <c r="C416" s="21">
        <v>0.65789473684210531</v>
      </c>
      <c r="D416" s="20">
        <v>0.28947368421052633</v>
      </c>
      <c r="E416" s="21">
        <v>0</v>
      </c>
      <c r="F416" s="20">
        <v>5.2631578947368418E-2</v>
      </c>
      <c r="G416" s="21">
        <v>225</v>
      </c>
      <c r="H416" s="20">
        <v>99</v>
      </c>
      <c r="I416" s="21">
        <v>0</v>
      </c>
      <c r="J416" s="20">
        <v>18</v>
      </c>
      <c r="K416" s="38">
        <v>342</v>
      </c>
      <c r="L416" s="77"/>
      <c r="M416" s="86"/>
      <c r="N416" s="22">
        <v>0.75670409202575695</v>
      </c>
    </row>
    <row r="417" spans="1:14" x14ac:dyDescent="0.35">
      <c r="A417" s="92"/>
      <c r="B417" s="20" t="s">
        <v>63</v>
      </c>
      <c r="C417" s="21">
        <v>0.74576271186440679</v>
      </c>
      <c r="D417" s="20">
        <v>0.24576271186440679</v>
      </c>
      <c r="E417" s="21">
        <v>0</v>
      </c>
      <c r="F417" s="20">
        <v>8.4745762711864406E-3</v>
      </c>
      <c r="G417" s="21">
        <v>176</v>
      </c>
      <c r="H417" s="20">
        <v>58</v>
      </c>
      <c r="I417" s="21">
        <v>0</v>
      </c>
      <c r="J417" s="20">
        <v>2</v>
      </c>
      <c r="K417" s="38">
        <v>236</v>
      </c>
      <c r="L417" s="77"/>
      <c r="M417" s="86"/>
      <c r="N417" s="22">
        <v>0.37245985865593001</v>
      </c>
    </row>
    <row r="418" spans="1:14" x14ac:dyDescent="0.35">
      <c r="A418" s="92"/>
      <c r="B418" s="20" t="s">
        <v>380</v>
      </c>
      <c r="C418" s="21">
        <v>0.71645569620253169</v>
      </c>
      <c r="D418" s="20">
        <v>0.24556962025316459</v>
      </c>
      <c r="E418" s="21">
        <v>0</v>
      </c>
      <c r="F418" s="20">
        <v>3.7974683544303799E-2</v>
      </c>
      <c r="G418" s="21">
        <v>283</v>
      </c>
      <c r="H418" s="20">
        <v>97</v>
      </c>
      <c r="I418" s="21">
        <v>0</v>
      </c>
      <c r="J418" s="20">
        <v>15</v>
      </c>
      <c r="K418" s="38">
        <v>395</v>
      </c>
      <c r="L418" s="77"/>
      <c r="M418" s="86"/>
      <c r="N418" s="22">
        <v>0.56949478387832597</v>
      </c>
    </row>
    <row r="419" spans="1:14" x14ac:dyDescent="0.35">
      <c r="A419" s="92"/>
      <c r="B419" s="20" t="s">
        <v>11</v>
      </c>
      <c r="C419" s="21">
        <v>0.65608465608465605</v>
      </c>
      <c r="D419" s="20">
        <v>0.2874779541446208</v>
      </c>
      <c r="E419" s="21">
        <v>0</v>
      </c>
      <c r="F419" s="20">
        <v>5.6437389770723101E-2</v>
      </c>
      <c r="G419" s="21">
        <v>372</v>
      </c>
      <c r="H419" s="20">
        <v>163</v>
      </c>
      <c r="I419" s="21">
        <v>0</v>
      </c>
      <c r="J419" s="20">
        <v>32</v>
      </c>
      <c r="K419" s="38">
        <v>567</v>
      </c>
      <c r="L419" s="77"/>
      <c r="M419" s="86"/>
      <c r="N419" s="22">
        <v>0.47518551349639898</v>
      </c>
    </row>
    <row r="420" spans="1:14" x14ac:dyDescent="0.35">
      <c r="A420" s="92"/>
      <c r="B420" s="20" t="s">
        <v>21</v>
      </c>
      <c r="C420" s="21">
        <v>0.40460526315789469</v>
      </c>
      <c r="D420" s="20">
        <v>0.57401315789473684</v>
      </c>
      <c r="E420" s="21">
        <v>0</v>
      </c>
      <c r="F420" s="20">
        <v>2.1381578947368422E-2</v>
      </c>
      <c r="G420" s="21">
        <v>246</v>
      </c>
      <c r="H420" s="20">
        <v>349</v>
      </c>
      <c r="I420" s="21">
        <v>0</v>
      </c>
      <c r="J420" s="20">
        <v>13</v>
      </c>
      <c r="K420" s="38">
        <v>608</v>
      </c>
      <c r="L420" s="77"/>
      <c r="M420" s="86"/>
      <c r="N420" s="22">
        <v>0.81875157356262196</v>
      </c>
    </row>
    <row r="421" spans="1:14" ht="16" thickBot="1" x14ac:dyDescent="0.4">
      <c r="A421" s="93"/>
      <c r="B421" s="26" t="s">
        <v>381</v>
      </c>
      <c r="C421" s="27">
        <v>0.61904761904761907</v>
      </c>
      <c r="D421" s="26">
        <v>0.27976190476190482</v>
      </c>
      <c r="E421" s="27">
        <v>0</v>
      </c>
      <c r="F421" s="26">
        <v>0.10119047619047621</v>
      </c>
      <c r="G421" s="27">
        <v>208</v>
      </c>
      <c r="H421" s="26">
        <v>94</v>
      </c>
      <c r="I421" s="27">
        <v>0</v>
      </c>
      <c r="J421" s="26">
        <v>34</v>
      </c>
      <c r="K421" s="39">
        <v>336</v>
      </c>
      <c r="L421" s="78"/>
      <c r="M421" s="87"/>
      <c r="N421" s="28">
        <v>0.65258133411407504</v>
      </c>
    </row>
    <row r="422" spans="1:14" x14ac:dyDescent="0.35">
      <c r="A422" s="88" t="s">
        <v>441</v>
      </c>
      <c r="B422" s="8" t="s">
        <v>29</v>
      </c>
      <c r="C422" s="9">
        <v>0.53179190751445082</v>
      </c>
      <c r="D422" s="8">
        <v>0.4238921001926782</v>
      </c>
      <c r="E422" s="9">
        <v>2.119460500963391E-2</v>
      </c>
      <c r="F422" s="8">
        <v>2.312138728323699E-2</v>
      </c>
      <c r="G422" s="9">
        <v>276</v>
      </c>
      <c r="H422" s="8">
        <v>220</v>
      </c>
      <c r="I422" s="9">
        <v>11</v>
      </c>
      <c r="J422" s="8">
        <v>12</v>
      </c>
      <c r="K422" s="34">
        <v>519</v>
      </c>
      <c r="L422" s="79" t="s">
        <v>10</v>
      </c>
      <c r="M422" s="82">
        <v>-0.81230670213699296</v>
      </c>
      <c r="N422" s="10">
        <v>0.55411654710769698</v>
      </c>
    </row>
    <row r="423" spans="1:14" x14ac:dyDescent="0.35">
      <c r="A423" s="89"/>
      <c r="B423" s="11" t="s">
        <v>25</v>
      </c>
      <c r="C423" s="12">
        <v>0.51754385964912286</v>
      </c>
      <c r="D423" s="11">
        <v>0.23976608187134499</v>
      </c>
      <c r="E423" s="12">
        <v>0.15789473684210531</v>
      </c>
      <c r="F423" s="11">
        <v>8.4795321637426896E-2</v>
      </c>
      <c r="G423" s="12">
        <v>177</v>
      </c>
      <c r="H423" s="11">
        <v>82</v>
      </c>
      <c r="I423" s="12">
        <v>54</v>
      </c>
      <c r="J423" s="11">
        <v>29</v>
      </c>
      <c r="K423" s="35">
        <v>342</v>
      </c>
      <c r="L423" s="80"/>
      <c r="M423" s="83"/>
      <c r="N423" s="13">
        <v>0.80187869071960405</v>
      </c>
    </row>
    <row r="424" spans="1:14" x14ac:dyDescent="0.35">
      <c r="A424" s="89"/>
      <c r="B424" s="11" t="s">
        <v>63</v>
      </c>
      <c r="C424" s="12">
        <v>0.6271186440677966</v>
      </c>
      <c r="D424" s="11">
        <v>0.17796610169491531</v>
      </c>
      <c r="E424" s="12">
        <v>0.1101694915254237</v>
      </c>
      <c r="F424" s="11">
        <v>8.4745762711864403E-2</v>
      </c>
      <c r="G424" s="12">
        <v>148</v>
      </c>
      <c r="H424" s="11">
        <v>42</v>
      </c>
      <c r="I424" s="12">
        <v>26</v>
      </c>
      <c r="J424" s="11">
        <v>20</v>
      </c>
      <c r="K424" s="35">
        <v>236</v>
      </c>
      <c r="L424" s="80"/>
      <c r="M424" s="83"/>
      <c r="N424" s="13">
        <v>0.30182057619094799</v>
      </c>
    </row>
    <row r="425" spans="1:14" x14ac:dyDescent="0.35">
      <c r="A425" s="89"/>
      <c r="B425" s="11" t="s">
        <v>380</v>
      </c>
      <c r="C425" s="12">
        <v>0.73924050632911398</v>
      </c>
      <c r="D425" s="11">
        <v>0.17215189873417719</v>
      </c>
      <c r="E425" s="12">
        <v>8.6075949367088608E-2</v>
      </c>
      <c r="F425" s="11">
        <v>2.5316455696202532E-3</v>
      </c>
      <c r="G425" s="12">
        <v>292</v>
      </c>
      <c r="H425" s="11">
        <v>68</v>
      </c>
      <c r="I425" s="12">
        <v>34</v>
      </c>
      <c r="J425" s="11">
        <v>1</v>
      </c>
      <c r="K425" s="35">
        <v>395</v>
      </c>
      <c r="L425" s="80"/>
      <c r="M425" s="83"/>
      <c r="N425" s="13">
        <v>0.73938024044036899</v>
      </c>
    </row>
    <row r="426" spans="1:14" x14ac:dyDescent="0.35">
      <c r="A426" s="89"/>
      <c r="B426" s="11" t="s">
        <v>11</v>
      </c>
      <c r="C426" s="12">
        <v>0.81657848324514992</v>
      </c>
      <c r="D426" s="11">
        <v>0.1322751322751323</v>
      </c>
      <c r="E426" s="12">
        <v>5.114638447971781E-2</v>
      </c>
      <c r="F426" s="11">
        <v>0</v>
      </c>
      <c r="G426" s="12">
        <v>463</v>
      </c>
      <c r="H426" s="11">
        <v>75</v>
      </c>
      <c r="I426" s="12">
        <v>29</v>
      </c>
      <c r="J426" s="11">
        <v>0</v>
      </c>
      <c r="K426" s="35">
        <v>567</v>
      </c>
      <c r="L426" s="80"/>
      <c r="M426" s="83"/>
      <c r="N426" s="13">
        <v>0.84115368127822898</v>
      </c>
    </row>
    <row r="427" spans="1:14" x14ac:dyDescent="0.35">
      <c r="A427" s="89"/>
      <c r="B427" s="11" t="s">
        <v>21</v>
      </c>
      <c r="C427" s="12">
        <v>0.39309210526315791</v>
      </c>
      <c r="D427" s="11">
        <v>0.51151315789473684</v>
      </c>
      <c r="E427" s="12">
        <v>7.8947368421052627E-2</v>
      </c>
      <c r="F427" s="11">
        <v>1.6447368421052631E-2</v>
      </c>
      <c r="G427" s="12">
        <v>239</v>
      </c>
      <c r="H427" s="11">
        <v>311</v>
      </c>
      <c r="I427" s="12">
        <v>48</v>
      </c>
      <c r="J427" s="11">
        <v>10</v>
      </c>
      <c r="K427" s="35">
        <v>608</v>
      </c>
      <c r="L427" s="80"/>
      <c r="M427" s="83"/>
      <c r="N427" s="13">
        <v>0.86134678125381503</v>
      </c>
    </row>
    <row r="428" spans="1:14" ht="16" thickBot="1" x14ac:dyDescent="0.4">
      <c r="A428" s="90"/>
      <c r="B428" s="14" t="s">
        <v>381</v>
      </c>
      <c r="C428" s="15">
        <v>0.60119047619047616</v>
      </c>
      <c r="D428" s="14">
        <v>0.22916666666666671</v>
      </c>
      <c r="E428" s="15">
        <v>0.1607142857142857</v>
      </c>
      <c r="F428" s="14">
        <v>8.9285714285714281E-3</v>
      </c>
      <c r="G428" s="15">
        <v>202</v>
      </c>
      <c r="H428" s="14">
        <v>77</v>
      </c>
      <c r="I428" s="15">
        <v>54</v>
      </c>
      <c r="J428" s="14">
        <v>3</v>
      </c>
      <c r="K428" s="36">
        <v>336</v>
      </c>
      <c r="L428" s="81"/>
      <c r="M428" s="84"/>
      <c r="N428" s="16">
        <v>0.72104603052139304</v>
      </c>
    </row>
    <row r="429" spans="1:14" x14ac:dyDescent="0.35">
      <c r="A429" s="91" t="s">
        <v>442</v>
      </c>
      <c r="B429" s="17" t="s">
        <v>29</v>
      </c>
      <c r="C429" s="18">
        <v>0.53564547206165702</v>
      </c>
      <c r="D429" s="17">
        <v>0.45857418111753367</v>
      </c>
      <c r="E429" s="18">
        <v>1.926782273603083E-3</v>
      </c>
      <c r="F429" s="17">
        <v>3.8535645472061661E-3</v>
      </c>
      <c r="G429" s="18">
        <v>278</v>
      </c>
      <c r="H429" s="17">
        <v>238</v>
      </c>
      <c r="I429" s="18">
        <v>1</v>
      </c>
      <c r="J429" s="17">
        <v>2</v>
      </c>
      <c r="K429" s="37">
        <v>519</v>
      </c>
      <c r="L429" s="76" t="s">
        <v>28</v>
      </c>
      <c r="M429" s="85">
        <v>-0.81885147094726596</v>
      </c>
      <c r="N429" s="19">
        <v>0.59893667697906505</v>
      </c>
    </row>
    <row r="430" spans="1:14" x14ac:dyDescent="0.35">
      <c r="A430" s="92"/>
      <c r="B430" s="20" t="s">
        <v>25</v>
      </c>
      <c r="C430" s="21">
        <v>0.66666666666666663</v>
      </c>
      <c r="D430" s="20">
        <v>0.32163742690058478</v>
      </c>
      <c r="E430" s="21">
        <v>8.771929824561403E-3</v>
      </c>
      <c r="F430" s="20">
        <v>2.9239766081871339E-3</v>
      </c>
      <c r="G430" s="21">
        <v>228</v>
      </c>
      <c r="H430" s="20">
        <v>110</v>
      </c>
      <c r="I430" s="21">
        <v>3</v>
      </c>
      <c r="J430" s="20">
        <v>1</v>
      </c>
      <c r="K430" s="38">
        <v>342</v>
      </c>
      <c r="L430" s="77"/>
      <c r="M430" s="86"/>
      <c r="N430" s="22">
        <v>0.73664522171020497</v>
      </c>
    </row>
    <row r="431" spans="1:14" x14ac:dyDescent="0.35">
      <c r="A431" s="92"/>
      <c r="B431" s="20" t="s">
        <v>63</v>
      </c>
      <c r="C431" s="21">
        <v>0.69491525423728817</v>
      </c>
      <c r="D431" s="20">
        <v>0.26271186440677968</v>
      </c>
      <c r="E431" s="21">
        <v>3.3898305084745763E-2</v>
      </c>
      <c r="F431" s="20">
        <v>8.4745762711864406E-3</v>
      </c>
      <c r="G431" s="21">
        <v>164</v>
      </c>
      <c r="H431" s="20">
        <v>62</v>
      </c>
      <c r="I431" s="21">
        <v>8</v>
      </c>
      <c r="J431" s="20">
        <v>2</v>
      </c>
      <c r="K431" s="38">
        <v>236</v>
      </c>
      <c r="L431" s="77"/>
      <c r="M431" s="86"/>
      <c r="N431" s="22">
        <v>0.25127938389778098</v>
      </c>
    </row>
    <row r="432" spans="1:14" x14ac:dyDescent="0.35">
      <c r="A432" s="92"/>
      <c r="B432" s="20" t="s">
        <v>380</v>
      </c>
      <c r="C432" s="21">
        <v>0.78987341772151898</v>
      </c>
      <c r="D432" s="20">
        <v>0.17721518987341769</v>
      </c>
      <c r="E432" s="21">
        <v>3.037974683544304E-2</v>
      </c>
      <c r="F432" s="20">
        <v>2.5316455696202532E-3</v>
      </c>
      <c r="G432" s="21">
        <v>312</v>
      </c>
      <c r="H432" s="20">
        <v>70</v>
      </c>
      <c r="I432" s="21">
        <v>12</v>
      </c>
      <c r="J432" s="20">
        <v>1</v>
      </c>
      <c r="K432" s="38">
        <v>395</v>
      </c>
      <c r="L432" s="77"/>
      <c r="M432" s="86"/>
      <c r="N432" s="22">
        <v>0.74027377367019698</v>
      </c>
    </row>
    <row r="433" spans="1:14" x14ac:dyDescent="0.35">
      <c r="A433" s="92"/>
      <c r="B433" s="20" t="s">
        <v>11</v>
      </c>
      <c r="C433" s="21">
        <v>0.82892416225749554</v>
      </c>
      <c r="D433" s="20">
        <v>0.16578483245149911</v>
      </c>
      <c r="E433" s="21">
        <v>5.2910052910052907E-3</v>
      </c>
      <c r="F433" s="20">
        <v>0</v>
      </c>
      <c r="G433" s="21">
        <v>470</v>
      </c>
      <c r="H433" s="20">
        <v>94</v>
      </c>
      <c r="I433" s="21">
        <v>3</v>
      </c>
      <c r="J433" s="20">
        <v>0</v>
      </c>
      <c r="K433" s="38">
        <v>567</v>
      </c>
      <c r="L433" s="77"/>
      <c r="M433" s="86"/>
      <c r="N433" s="22">
        <v>0.93790936470031705</v>
      </c>
    </row>
    <row r="434" spans="1:14" x14ac:dyDescent="0.35">
      <c r="A434" s="92"/>
      <c r="B434" s="20" t="s">
        <v>21</v>
      </c>
      <c r="C434" s="21">
        <v>0.37664473684210531</v>
      </c>
      <c r="D434" s="20">
        <v>0.58059210526315785</v>
      </c>
      <c r="E434" s="21">
        <v>1.4802631578947369E-2</v>
      </c>
      <c r="F434" s="20">
        <v>2.796052631578947E-2</v>
      </c>
      <c r="G434" s="21">
        <v>229</v>
      </c>
      <c r="H434" s="20">
        <v>353</v>
      </c>
      <c r="I434" s="21">
        <v>9</v>
      </c>
      <c r="J434" s="20">
        <v>17</v>
      </c>
      <c r="K434" s="38">
        <v>608</v>
      </c>
      <c r="L434" s="77"/>
      <c r="M434" s="86"/>
      <c r="N434" s="22">
        <v>0.87395989894866899</v>
      </c>
    </row>
    <row r="435" spans="1:14" ht="16" thickBot="1" x14ac:dyDescent="0.4">
      <c r="A435" s="93"/>
      <c r="B435" s="26" t="s">
        <v>381</v>
      </c>
      <c r="C435" s="27">
        <v>0.68452380952380953</v>
      </c>
      <c r="D435" s="26">
        <v>0.29464285714285721</v>
      </c>
      <c r="E435" s="27">
        <v>8.9285714285714281E-3</v>
      </c>
      <c r="F435" s="26">
        <v>1.1904761904761901E-2</v>
      </c>
      <c r="G435" s="27">
        <v>230</v>
      </c>
      <c r="H435" s="26">
        <v>99</v>
      </c>
      <c r="I435" s="27">
        <v>3</v>
      </c>
      <c r="J435" s="26">
        <v>4</v>
      </c>
      <c r="K435" s="39">
        <v>336</v>
      </c>
      <c r="L435" s="78"/>
      <c r="M435" s="87"/>
      <c r="N435" s="28">
        <v>0.74693030118942305</v>
      </c>
    </row>
    <row r="436" spans="1:14" x14ac:dyDescent="0.35">
      <c r="A436" s="88" t="s">
        <v>443</v>
      </c>
      <c r="B436" s="8" t="s">
        <v>29</v>
      </c>
      <c r="C436" s="9">
        <v>0.279383429672447</v>
      </c>
      <c r="D436" s="8">
        <v>0.44508670520231208</v>
      </c>
      <c r="E436" s="9">
        <v>0.23699421965317921</v>
      </c>
      <c r="F436" s="8">
        <v>3.8535645472061647E-2</v>
      </c>
      <c r="G436" s="9">
        <v>145</v>
      </c>
      <c r="H436" s="8">
        <v>231</v>
      </c>
      <c r="I436" s="9">
        <v>123</v>
      </c>
      <c r="J436" s="8">
        <v>20</v>
      </c>
      <c r="K436" s="34">
        <v>519</v>
      </c>
      <c r="L436" s="79" t="s">
        <v>36</v>
      </c>
      <c r="M436" s="82">
        <v>0.80041092634201005</v>
      </c>
      <c r="N436" s="10">
        <v>-0.95410633087158203</v>
      </c>
    </row>
    <row r="437" spans="1:14" x14ac:dyDescent="0.35">
      <c r="A437" s="89"/>
      <c r="B437" s="11" t="s">
        <v>25</v>
      </c>
      <c r="C437" s="12">
        <v>0.30409356725146203</v>
      </c>
      <c r="D437" s="11">
        <v>0.45029239766081869</v>
      </c>
      <c r="E437" s="12">
        <v>0.23976608187134499</v>
      </c>
      <c r="F437" s="11">
        <v>5.8479532163742687E-3</v>
      </c>
      <c r="G437" s="12">
        <v>104</v>
      </c>
      <c r="H437" s="11">
        <v>154</v>
      </c>
      <c r="I437" s="12">
        <v>82</v>
      </c>
      <c r="J437" s="11">
        <v>2</v>
      </c>
      <c r="K437" s="35">
        <v>342</v>
      </c>
      <c r="L437" s="80"/>
      <c r="M437" s="83"/>
      <c r="N437" s="13">
        <v>-0.73994547128677401</v>
      </c>
    </row>
    <row r="438" spans="1:14" x14ac:dyDescent="0.35">
      <c r="A438" s="89"/>
      <c r="B438" s="11" t="s">
        <v>63</v>
      </c>
      <c r="C438" s="12">
        <v>0.20338983050847459</v>
      </c>
      <c r="D438" s="11">
        <v>0.52542372881355937</v>
      </c>
      <c r="E438" s="12">
        <v>0.22457627118644069</v>
      </c>
      <c r="F438" s="11">
        <v>4.6610169491525417E-2</v>
      </c>
      <c r="G438" s="12">
        <v>48</v>
      </c>
      <c r="H438" s="11">
        <v>124</v>
      </c>
      <c r="I438" s="12">
        <v>53</v>
      </c>
      <c r="J438" s="11">
        <v>11</v>
      </c>
      <c r="K438" s="35">
        <v>236</v>
      </c>
      <c r="L438" s="80"/>
      <c r="M438" s="83"/>
      <c r="N438" s="13">
        <v>-0.89444839954376198</v>
      </c>
    </row>
    <row r="439" spans="1:14" x14ac:dyDescent="0.35">
      <c r="A439" s="89"/>
      <c r="B439" s="11" t="s">
        <v>380</v>
      </c>
      <c r="C439" s="12">
        <v>0.25822784810126581</v>
      </c>
      <c r="D439" s="11">
        <v>0.48607594936708859</v>
      </c>
      <c r="E439" s="12">
        <v>0.22025316455696201</v>
      </c>
      <c r="F439" s="11">
        <v>3.5443037974683553E-2</v>
      </c>
      <c r="G439" s="12">
        <v>102</v>
      </c>
      <c r="H439" s="11">
        <v>192</v>
      </c>
      <c r="I439" s="12">
        <v>87</v>
      </c>
      <c r="J439" s="11">
        <v>14</v>
      </c>
      <c r="K439" s="35">
        <v>395</v>
      </c>
      <c r="L439" s="80"/>
      <c r="M439" s="83"/>
      <c r="N439" s="13">
        <v>-0.85447657108306896</v>
      </c>
    </row>
    <row r="440" spans="1:14" x14ac:dyDescent="0.35">
      <c r="A440" s="89"/>
      <c r="B440" s="11" t="s">
        <v>11</v>
      </c>
      <c r="C440" s="12">
        <v>0.29100529100529099</v>
      </c>
      <c r="D440" s="11">
        <v>0.47089947089947087</v>
      </c>
      <c r="E440" s="12">
        <v>0.20282186948853609</v>
      </c>
      <c r="F440" s="11">
        <v>3.5273368606701938E-2</v>
      </c>
      <c r="G440" s="12">
        <v>165</v>
      </c>
      <c r="H440" s="11">
        <v>267</v>
      </c>
      <c r="I440" s="12">
        <v>115</v>
      </c>
      <c r="J440" s="11">
        <v>20</v>
      </c>
      <c r="K440" s="35">
        <v>567</v>
      </c>
      <c r="L440" s="80"/>
      <c r="M440" s="83"/>
      <c r="N440" s="13">
        <v>-0.37516945600509599</v>
      </c>
    </row>
    <row r="441" spans="1:14" x14ac:dyDescent="0.35">
      <c r="A441" s="89"/>
      <c r="B441" s="11" t="s">
        <v>21</v>
      </c>
      <c r="C441" s="12">
        <v>0.53125</v>
      </c>
      <c r="D441" s="11">
        <v>0.25493421052631582</v>
      </c>
      <c r="E441" s="12">
        <v>0.19736842105263161</v>
      </c>
      <c r="F441" s="11">
        <v>1.6447368421052631E-2</v>
      </c>
      <c r="G441" s="12">
        <v>323</v>
      </c>
      <c r="H441" s="11">
        <v>155</v>
      </c>
      <c r="I441" s="12">
        <v>120</v>
      </c>
      <c r="J441" s="11">
        <v>10</v>
      </c>
      <c r="K441" s="35">
        <v>608</v>
      </c>
      <c r="L441" s="80"/>
      <c r="M441" s="83"/>
      <c r="N441" s="13">
        <v>-0.81515496969223</v>
      </c>
    </row>
    <row r="442" spans="1:14" ht="16" thickBot="1" x14ac:dyDescent="0.4">
      <c r="A442" s="90"/>
      <c r="B442" s="14" t="s">
        <v>381</v>
      </c>
      <c r="C442" s="15">
        <v>0.27976190476190482</v>
      </c>
      <c r="D442" s="14">
        <v>0.44642857142857151</v>
      </c>
      <c r="E442" s="15">
        <v>0.27380952380952378</v>
      </c>
      <c r="F442" s="14">
        <v>0</v>
      </c>
      <c r="G442" s="15">
        <v>94</v>
      </c>
      <c r="H442" s="14">
        <v>150</v>
      </c>
      <c r="I442" s="15">
        <v>92</v>
      </c>
      <c r="J442" s="14">
        <v>0</v>
      </c>
      <c r="K442" s="36">
        <v>336</v>
      </c>
      <c r="L442" s="81"/>
      <c r="M442" s="84"/>
      <c r="N442" s="16">
        <v>-0.81448781490325906</v>
      </c>
    </row>
    <row r="443" spans="1:14" x14ac:dyDescent="0.35">
      <c r="A443" s="91" t="s">
        <v>444</v>
      </c>
      <c r="B443" s="17" t="s">
        <v>29</v>
      </c>
      <c r="C443" s="18">
        <v>0.4913294797687861</v>
      </c>
      <c r="D443" s="17">
        <v>0.40847784200385362</v>
      </c>
      <c r="E443" s="18">
        <v>2.6974951830443159E-2</v>
      </c>
      <c r="F443" s="17">
        <v>7.3217726396917149E-2</v>
      </c>
      <c r="G443" s="18">
        <v>255</v>
      </c>
      <c r="H443" s="17">
        <v>212</v>
      </c>
      <c r="I443" s="18">
        <v>14</v>
      </c>
      <c r="J443" s="17">
        <v>38</v>
      </c>
      <c r="K443" s="37">
        <v>519</v>
      </c>
      <c r="L443" s="76" t="s">
        <v>44</v>
      </c>
      <c r="M443" s="85">
        <v>-0.67353707551956199</v>
      </c>
      <c r="N443" s="19">
        <v>0.53083038330078103</v>
      </c>
    </row>
    <row r="444" spans="1:14" x14ac:dyDescent="0.35">
      <c r="A444" s="92"/>
      <c r="B444" s="20" t="s">
        <v>25</v>
      </c>
      <c r="C444" s="21">
        <v>0.54093567251461994</v>
      </c>
      <c r="D444" s="20">
        <v>0.30701754385964908</v>
      </c>
      <c r="E444" s="21">
        <v>0.1023391812865497</v>
      </c>
      <c r="F444" s="20">
        <v>4.9707602339181277E-2</v>
      </c>
      <c r="G444" s="21">
        <v>185</v>
      </c>
      <c r="H444" s="20">
        <v>105</v>
      </c>
      <c r="I444" s="21">
        <v>35</v>
      </c>
      <c r="J444" s="20">
        <v>17</v>
      </c>
      <c r="K444" s="38">
        <v>342</v>
      </c>
      <c r="L444" s="77"/>
      <c r="M444" s="86"/>
      <c r="N444" s="22">
        <v>0.56438916921615601</v>
      </c>
    </row>
    <row r="445" spans="1:14" x14ac:dyDescent="0.35">
      <c r="A445" s="92"/>
      <c r="B445" s="20" t="s">
        <v>63</v>
      </c>
      <c r="C445" s="21">
        <v>0.3940677966101695</v>
      </c>
      <c r="D445" s="20">
        <v>0.24152542372881361</v>
      </c>
      <c r="E445" s="21">
        <v>0.33050847457627119</v>
      </c>
      <c r="F445" s="20">
        <v>3.3898305084745763E-2</v>
      </c>
      <c r="G445" s="21">
        <v>93</v>
      </c>
      <c r="H445" s="20">
        <v>57</v>
      </c>
      <c r="I445" s="21">
        <v>78</v>
      </c>
      <c r="J445" s="20">
        <v>8</v>
      </c>
      <c r="K445" s="38">
        <v>236</v>
      </c>
      <c r="L445" s="77"/>
      <c r="M445" s="86"/>
      <c r="N445" s="22">
        <v>0.106145568192005</v>
      </c>
    </row>
    <row r="446" spans="1:14" x14ac:dyDescent="0.35">
      <c r="A446" s="92"/>
      <c r="B446" s="20" t="s">
        <v>380</v>
      </c>
      <c r="C446" s="21">
        <v>0.72151898734177211</v>
      </c>
      <c r="D446" s="20">
        <v>0.19746835443037969</v>
      </c>
      <c r="E446" s="21">
        <v>6.8354430379746839E-2</v>
      </c>
      <c r="F446" s="20">
        <v>1.2658227848101271E-2</v>
      </c>
      <c r="G446" s="21">
        <v>285</v>
      </c>
      <c r="H446" s="20">
        <v>78</v>
      </c>
      <c r="I446" s="21">
        <v>27</v>
      </c>
      <c r="J446" s="20">
        <v>5</v>
      </c>
      <c r="K446" s="38">
        <v>395</v>
      </c>
      <c r="L446" s="77"/>
      <c r="M446" s="86"/>
      <c r="N446" s="22">
        <v>0.617914497852325</v>
      </c>
    </row>
    <row r="447" spans="1:14" x14ac:dyDescent="0.35">
      <c r="A447" s="92"/>
      <c r="B447" s="20" t="s">
        <v>11</v>
      </c>
      <c r="C447" s="21">
        <v>0.83245149911816574</v>
      </c>
      <c r="D447" s="20">
        <v>0.15167548500881831</v>
      </c>
      <c r="E447" s="21">
        <v>1.410934744268078E-2</v>
      </c>
      <c r="F447" s="20">
        <v>1.7636684303350969E-3</v>
      </c>
      <c r="G447" s="21">
        <v>472</v>
      </c>
      <c r="H447" s="20">
        <v>86</v>
      </c>
      <c r="I447" s="21">
        <v>8</v>
      </c>
      <c r="J447" s="20">
        <v>1</v>
      </c>
      <c r="K447" s="38">
        <v>567</v>
      </c>
      <c r="L447" s="77"/>
      <c r="M447" s="86"/>
      <c r="N447" s="22">
        <v>0.945997834205627</v>
      </c>
    </row>
    <row r="448" spans="1:14" x14ac:dyDescent="0.35">
      <c r="A448" s="92"/>
      <c r="B448" s="20" t="s">
        <v>21</v>
      </c>
      <c r="C448" s="21">
        <v>0.34703947368421051</v>
      </c>
      <c r="D448" s="20">
        <v>0.54605263157894735</v>
      </c>
      <c r="E448" s="21">
        <v>4.6052631578947373E-2</v>
      </c>
      <c r="F448" s="20">
        <v>6.0855263157894739E-2</v>
      </c>
      <c r="G448" s="21">
        <v>211</v>
      </c>
      <c r="H448" s="20">
        <v>332</v>
      </c>
      <c r="I448" s="21">
        <v>28</v>
      </c>
      <c r="J448" s="20">
        <v>37</v>
      </c>
      <c r="K448" s="38">
        <v>608</v>
      </c>
      <c r="L448" s="77"/>
      <c r="M448" s="86"/>
      <c r="N448" s="22">
        <v>0.70059096813201904</v>
      </c>
    </row>
    <row r="449" spans="1:14" ht="16" thickBot="1" x14ac:dyDescent="0.4">
      <c r="A449" s="93"/>
      <c r="B449" s="26" t="s">
        <v>381</v>
      </c>
      <c r="C449" s="27">
        <v>0.58630952380952384</v>
      </c>
      <c r="D449" s="26">
        <v>0.27083333333333331</v>
      </c>
      <c r="E449" s="27">
        <v>0.13095238095238099</v>
      </c>
      <c r="F449" s="26">
        <v>1.1904761904761901E-2</v>
      </c>
      <c r="G449" s="27">
        <v>197</v>
      </c>
      <c r="H449" s="26">
        <v>91</v>
      </c>
      <c r="I449" s="27">
        <v>44</v>
      </c>
      <c r="J449" s="26">
        <v>4</v>
      </c>
      <c r="K449" s="39">
        <v>336</v>
      </c>
      <c r="L449" s="78"/>
      <c r="M449" s="87"/>
      <c r="N449" s="28">
        <v>0.57827371358871504</v>
      </c>
    </row>
    <row r="450" spans="1:14" x14ac:dyDescent="0.35">
      <c r="A450" s="88" t="s">
        <v>445</v>
      </c>
      <c r="B450" s="8" t="s">
        <v>29</v>
      </c>
      <c r="C450" s="9">
        <v>0.33333333333333331</v>
      </c>
      <c r="D450" s="8">
        <v>0.30443159922928709</v>
      </c>
      <c r="E450" s="9">
        <v>0.26396917148362242</v>
      </c>
      <c r="F450" s="8">
        <v>9.8265895953757232E-2</v>
      </c>
      <c r="G450" s="9">
        <v>173</v>
      </c>
      <c r="H450" s="8">
        <v>158</v>
      </c>
      <c r="I450" s="9">
        <v>137</v>
      </c>
      <c r="J450" s="8">
        <v>51</v>
      </c>
      <c r="K450" s="34">
        <v>519</v>
      </c>
      <c r="L450" s="79" t="s">
        <v>36</v>
      </c>
      <c r="M450" s="82">
        <v>0.53475791215896595</v>
      </c>
      <c r="N450" s="10">
        <v>-0.76825439929962203</v>
      </c>
    </row>
    <row r="451" spans="1:14" x14ac:dyDescent="0.35">
      <c r="A451" s="89"/>
      <c r="B451" s="11" t="s">
        <v>25</v>
      </c>
      <c r="C451" s="12">
        <v>0.34210526315789469</v>
      </c>
      <c r="D451" s="11">
        <v>0.38304093567251463</v>
      </c>
      <c r="E451" s="12">
        <v>0.22514619883040929</v>
      </c>
      <c r="F451" s="11">
        <v>4.9707602339181277E-2</v>
      </c>
      <c r="G451" s="12">
        <v>117</v>
      </c>
      <c r="H451" s="11">
        <v>131</v>
      </c>
      <c r="I451" s="12">
        <v>77</v>
      </c>
      <c r="J451" s="11">
        <v>17</v>
      </c>
      <c r="K451" s="35">
        <v>342</v>
      </c>
      <c r="L451" s="80"/>
      <c r="M451" s="83"/>
      <c r="N451" s="13">
        <v>-0.42820924520492598</v>
      </c>
    </row>
    <row r="452" spans="1:14" x14ac:dyDescent="0.35">
      <c r="A452" s="89"/>
      <c r="B452" s="11" t="s">
        <v>63</v>
      </c>
      <c r="C452" s="12">
        <v>0.19067796610169491</v>
      </c>
      <c r="D452" s="11">
        <v>0.56355932203389836</v>
      </c>
      <c r="E452" s="12">
        <v>0.15254237288135589</v>
      </c>
      <c r="F452" s="11">
        <v>9.3220338983050849E-2</v>
      </c>
      <c r="G452" s="12">
        <v>45</v>
      </c>
      <c r="H452" s="11">
        <v>133</v>
      </c>
      <c r="I452" s="12">
        <v>36</v>
      </c>
      <c r="J452" s="11">
        <v>22</v>
      </c>
      <c r="K452" s="35">
        <v>236</v>
      </c>
      <c r="L452" s="80"/>
      <c r="M452" s="83"/>
      <c r="N452" s="13">
        <v>-0.93550270795822099</v>
      </c>
    </row>
    <row r="453" spans="1:14" x14ac:dyDescent="0.35">
      <c r="A453" s="89"/>
      <c r="B453" s="11" t="s">
        <v>380</v>
      </c>
      <c r="C453" s="12">
        <v>0.34430379746835438</v>
      </c>
      <c r="D453" s="11">
        <v>0.39493670886075949</v>
      </c>
      <c r="E453" s="12">
        <v>0.20759493670886081</v>
      </c>
      <c r="F453" s="11">
        <v>5.3164556962025322E-2</v>
      </c>
      <c r="G453" s="12">
        <v>136</v>
      </c>
      <c r="H453" s="11">
        <v>156</v>
      </c>
      <c r="I453" s="12">
        <v>82</v>
      </c>
      <c r="J453" s="11">
        <v>21</v>
      </c>
      <c r="K453" s="35">
        <v>395</v>
      </c>
      <c r="L453" s="80"/>
      <c r="M453" s="83"/>
      <c r="N453" s="13">
        <v>-0.52197617292404197</v>
      </c>
    </row>
    <row r="454" spans="1:14" x14ac:dyDescent="0.35">
      <c r="A454" s="89"/>
      <c r="B454" s="11" t="s">
        <v>11</v>
      </c>
      <c r="C454" s="12">
        <v>0.35097001763668428</v>
      </c>
      <c r="D454" s="11">
        <v>0.42328042328042331</v>
      </c>
      <c r="E454" s="12">
        <v>0.16402116402116401</v>
      </c>
      <c r="F454" s="11">
        <v>6.1728395061728392E-2</v>
      </c>
      <c r="G454" s="12">
        <v>199</v>
      </c>
      <c r="H454" s="11">
        <v>240</v>
      </c>
      <c r="I454" s="12">
        <v>93</v>
      </c>
      <c r="J454" s="11">
        <v>35</v>
      </c>
      <c r="K454" s="35">
        <v>567</v>
      </c>
      <c r="L454" s="80"/>
      <c r="M454" s="83"/>
      <c r="N454" s="13">
        <v>-0.22413189709186601</v>
      </c>
    </row>
    <row r="455" spans="1:14" x14ac:dyDescent="0.35">
      <c r="A455" s="89"/>
      <c r="B455" s="11" t="s">
        <v>21</v>
      </c>
      <c r="C455" s="12">
        <v>0.55263157894736847</v>
      </c>
      <c r="D455" s="11">
        <v>0.28453947368421051</v>
      </c>
      <c r="E455" s="12">
        <v>0.14638157894736839</v>
      </c>
      <c r="F455" s="11">
        <v>1.6447368421052631E-2</v>
      </c>
      <c r="G455" s="12">
        <v>336</v>
      </c>
      <c r="H455" s="11">
        <v>173</v>
      </c>
      <c r="I455" s="12">
        <v>89</v>
      </c>
      <c r="J455" s="11">
        <v>10</v>
      </c>
      <c r="K455" s="35">
        <v>608</v>
      </c>
      <c r="L455" s="80"/>
      <c r="M455" s="83"/>
      <c r="N455" s="13">
        <v>-0.50226873159408603</v>
      </c>
    </row>
    <row r="456" spans="1:14" ht="16" thickBot="1" x14ac:dyDescent="0.4">
      <c r="A456" s="90"/>
      <c r="B456" s="14" t="s">
        <v>381</v>
      </c>
      <c r="C456" s="15">
        <v>0.31547619047619052</v>
      </c>
      <c r="D456" s="14">
        <v>0.41369047619047622</v>
      </c>
      <c r="E456" s="15">
        <v>0.23214285714285721</v>
      </c>
      <c r="F456" s="14">
        <v>3.8690476190476192E-2</v>
      </c>
      <c r="G456" s="15">
        <v>106</v>
      </c>
      <c r="H456" s="14">
        <v>139</v>
      </c>
      <c r="I456" s="15">
        <v>78</v>
      </c>
      <c r="J456" s="14">
        <v>13</v>
      </c>
      <c r="K456" s="36">
        <v>336</v>
      </c>
      <c r="L456" s="81"/>
      <c r="M456" s="84"/>
      <c r="N456" s="16">
        <v>-0.60877472162246704</v>
      </c>
    </row>
    <row r="457" spans="1:14" x14ac:dyDescent="0.35">
      <c r="A457" s="91" t="s">
        <v>446</v>
      </c>
      <c r="B457" s="17" t="s">
        <v>29</v>
      </c>
      <c r="C457" s="18">
        <v>0.40269749518304432</v>
      </c>
      <c r="D457" s="17">
        <v>0.28516377649325619</v>
      </c>
      <c r="E457" s="18">
        <v>0.2928709055876686</v>
      </c>
      <c r="F457" s="17">
        <v>1.926782273603083E-2</v>
      </c>
      <c r="G457" s="18">
        <v>209</v>
      </c>
      <c r="H457" s="17">
        <v>148</v>
      </c>
      <c r="I457" s="18">
        <v>152</v>
      </c>
      <c r="J457" s="17">
        <v>10</v>
      </c>
      <c r="K457" s="37">
        <v>519</v>
      </c>
      <c r="L457" s="76" t="s">
        <v>59</v>
      </c>
      <c r="M457" s="85">
        <v>-0.29381147027015703</v>
      </c>
      <c r="N457" s="19">
        <v>0.31273522973060602</v>
      </c>
    </row>
    <row r="458" spans="1:14" x14ac:dyDescent="0.35">
      <c r="A458" s="92"/>
      <c r="B458" s="20" t="s">
        <v>25</v>
      </c>
      <c r="C458" s="21">
        <v>0.42690058479532161</v>
      </c>
      <c r="D458" s="20">
        <v>0.25146198830409361</v>
      </c>
      <c r="E458" s="21">
        <v>0.32163742690058478</v>
      </c>
      <c r="F458" s="20">
        <v>0</v>
      </c>
      <c r="G458" s="21">
        <v>146</v>
      </c>
      <c r="H458" s="20">
        <v>86</v>
      </c>
      <c r="I458" s="21">
        <v>110</v>
      </c>
      <c r="J458" s="20">
        <v>0</v>
      </c>
      <c r="K458" s="38">
        <v>342</v>
      </c>
      <c r="L458" s="77"/>
      <c r="M458" s="86"/>
      <c r="N458" s="22">
        <v>0.17143751680850999</v>
      </c>
    </row>
    <row r="459" spans="1:14" x14ac:dyDescent="0.35">
      <c r="A459" s="92"/>
      <c r="B459" s="20" t="s">
        <v>63</v>
      </c>
      <c r="C459" s="21">
        <v>0.36440677966101692</v>
      </c>
      <c r="D459" s="20">
        <v>0.30084745762711862</v>
      </c>
      <c r="E459" s="21">
        <v>0.3135593220338983</v>
      </c>
      <c r="F459" s="20">
        <v>2.1186440677966101E-2</v>
      </c>
      <c r="G459" s="21">
        <v>86</v>
      </c>
      <c r="H459" s="20">
        <v>71</v>
      </c>
      <c r="I459" s="21">
        <v>74</v>
      </c>
      <c r="J459" s="20">
        <v>5</v>
      </c>
      <c r="K459" s="38">
        <v>236</v>
      </c>
      <c r="L459" s="77"/>
      <c r="M459" s="86"/>
      <c r="N459" s="22">
        <v>-0.160562604665756</v>
      </c>
    </row>
    <row r="460" spans="1:14" x14ac:dyDescent="0.35">
      <c r="A460" s="92"/>
      <c r="B460" s="20" t="s">
        <v>380</v>
      </c>
      <c r="C460" s="21">
        <v>0.51139240506329109</v>
      </c>
      <c r="D460" s="20">
        <v>0.30886075949367092</v>
      </c>
      <c r="E460" s="21">
        <v>0.17215189873417719</v>
      </c>
      <c r="F460" s="20">
        <v>7.5949367088607592E-3</v>
      </c>
      <c r="G460" s="21">
        <v>202</v>
      </c>
      <c r="H460" s="20">
        <v>122</v>
      </c>
      <c r="I460" s="21">
        <v>68</v>
      </c>
      <c r="J460" s="20">
        <v>3</v>
      </c>
      <c r="K460" s="38">
        <v>395</v>
      </c>
      <c r="L460" s="77"/>
      <c r="M460" s="86"/>
      <c r="N460" s="22">
        <v>0.204062074422836</v>
      </c>
    </row>
    <row r="461" spans="1:14" x14ac:dyDescent="0.35">
      <c r="A461" s="92"/>
      <c r="B461" s="20" t="s">
        <v>11</v>
      </c>
      <c r="C461" s="21">
        <v>0.64726631393298062</v>
      </c>
      <c r="D461" s="20">
        <v>0.17989417989417991</v>
      </c>
      <c r="E461" s="21">
        <v>0.16225749559082889</v>
      </c>
      <c r="F461" s="20">
        <v>1.058201058201058E-2</v>
      </c>
      <c r="G461" s="21">
        <v>367</v>
      </c>
      <c r="H461" s="20">
        <v>102</v>
      </c>
      <c r="I461" s="21">
        <v>92</v>
      </c>
      <c r="J461" s="20">
        <v>6</v>
      </c>
      <c r="K461" s="38">
        <v>567</v>
      </c>
      <c r="L461" s="77"/>
      <c r="M461" s="86"/>
      <c r="N461" s="22">
        <v>0.43801710009574901</v>
      </c>
    </row>
    <row r="462" spans="1:14" x14ac:dyDescent="0.35">
      <c r="A462" s="92"/>
      <c r="B462" s="20" t="s">
        <v>21</v>
      </c>
      <c r="C462" s="21">
        <v>0.38980263157894729</v>
      </c>
      <c r="D462" s="20">
        <v>0.37171052631578949</v>
      </c>
      <c r="E462" s="21">
        <v>0.21710526315789469</v>
      </c>
      <c r="F462" s="20">
        <v>2.1381578947368422E-2</v>
      </c>
      <c r="G462" s="21">
        <v>237</v>
      </c>
      <c r="H462" s="20">
        <v>226</v>
      </c>
      <c r="I462" s="21">
        <v>132</v>
      </c>
      <c r="J462" s="20">
        <v>13</v>
      </c>
      <c r="K462" s="38">
        <v>608</v>
      </c>
      <c r="L462" s="77"/>
      <c r="M462" s="86"/>
      <c r="N462" s="22">
        <v>0.255974590778351</v>
      </c>
    </row>
    <row r="463" spans="1:14" ht="16" thickBot="1" x14ac:dyDescent="0.4">
      <c r="A463" s="93"/>
      <c r="B463" s="26" t="s">
        <v>381</v>
      </c>
      <c r="C463" s="27">
        <v>0.36309523809523808</v>
      </c>
      <c r="D463" s="26">
        <v>0.25595238095238088</v>
      </c>
      <c r="E463" s="27">
        <v>0.36904761904761912</v>
      </c>
      <c r="F463" s="26">
        <v>1.1904761904761901E-2</v>
      </c>
      <c r="G463" s="27">
        <v>122</v>
      </c>
      <c r="H463" s="26">
        <v>86</v>
      </c>
      <c r="I463" s="27">
        <v>124</v>
      </c>
      <c r="J463" s="26">
        <v>4</v>
      </c>
      <c r="K463" s="39">
        <v>336</v>
      </c>
      <c r="L463" s="78"/>
      <c r="M463" s="87"/>
      <c r="N463" s="28">
        <v>4.7147855162620503E-2</v>
      </c>
    </row>
    <row r="464" spans="1:14" x14ac:dyDescent="0.35">
      <c r="A464" s="88" t="s">
        <v>447</v>
      </c>
      <c r="B464" s="8" t="s">
        <v>29</v>
      </c>
      <c r="C464" s="9">
        <v>0.43159922928709049</v>
      </c>
      <c r="D464" s="8">
        <v>0.31406551059730248</v>
      </c>
      <c r="E464" s="9">
        <v>0.25048169556840078</v>
      </c>
      <c r="F464" s="8">
        <v>3.8535645472061661E-3</v>
      </c>
      <c r="G464" s="9">
        <v>224</v>
      </c>
      <c r="H464" s="8">
        <v>163</v>
      </c>
      <c r="I464" s="9">
        <v>130</v>
      </c>
      <c r="J464" s="8">
        <v>2</v>
      </c>
      <c r="K464" s="34">
        <v>519</v>
      </c>
      <c r="L464" s="79" t="s">
        <v>59</v>
      </c>
      <c r="M464" s="82">
        <v>-0.59127187728881803</v>
      </c>
      <c r="N464" s="10">
        <v>0.475776046514511</v>
      </c>
    </row>
    <row r="465" spans="1:14" x14ac:dyDescent="0.35">
      <c r="A465" s="89"/>
      <c r="B465" s="11" t="s">
        <v>25</v>
      </c>
      <c r="C465" s="12">
        <v>0.50877192982456143</v>
      </c>
      <c r="D465" s="11">
        <v>0.29239766081871338</v>
      </c>
      <c r="E465" s="12">
        <v>0.19298245614035089</v>
      </c>
      <c r="F465" s="11">
        <v>5.8479532163742687E-3</v>
      </c>
      <c r="G465" s="12">
        <v>174</v>
      </c>
      <c r="H465" s="11">
        <v>100</v>
      </c>
      <c r="I465" s="12">
        <v>66</v>
      </c>
      <c r="J465" s="11">
        <v>2</v>
      </c>
      <c r="K465" s="35">
        <v>342</v>
      </c>
      <c r="L465" s="80"/>
      <c r="M465" s="83"/>
      <c r="N465" s="13">
        <v>0.56483614444732699</v>
      </c>
    </row>
    <row r="466" spans="1:14" x14ac:dyDescent="0.35">
      <c r="A466" s="89"/>
      <c r="B466" s="11" t="s">
        <v>63</v>
      </c>
      <c r="C466" s="12">
        <v>0.66101694915254239</v>
      </c>
      <c r="D466" s="11">
        <v>0.22457627118644069</v>
      </c>
      <c r="E466" s="12">
        <v>0.1101694915254237</v>
      </c>
      <c r="F466" s="11">
        <v>4.2372881355932203E-3</v>
      </c>
      <c r="G466" s="12">
        <v>156</v>
      </c>
      <c r="H466" s="11">
        <v>53</v>
      </c>
      <c r="I466" s="12">
        <v>26</v>
      </c>
      <c r="J466" s="11">
        <v>1</v>
      </c>
      <c r="K466" s="35">
        <v>236</v>
      </c>
      <c r="L466" s="80"/>
      <c r="M466" s="83"/>
      <c r="N466" s="13">
        <v>0.16108383238315599</v>
      </c>
    </row>
    <row r="467" spans="1:14" x14ac:dyDescent="0.35">
      <c r="A467" s="89"/>
      <c r="B467" s="11" t="s">
        <v>380</v>
      </c>
      <c r="C467" s="12">
        <v>0.67594936708860764</v>
      </c>
      <c r="D467" s="11">
        <v>0.20759493670886081</v>
      </c>
      <c r="E467" s="12">
        <v>0.1088607594936709</v>
      </c>
      <c r="F467" s="11">
        <v>7.5949367088607592E-3</v>
      </c>
      <c r="G467" s="12">
        <v>267</v>
      </c>
      <c r="H467" s="11">
        <v>82</v>
      </c>
      <c r="I467" s="12">
        <v>43</v>
      </c>
      <c r="J467" s="11">
        <v>3</v>
      </c>
      <c r="K467" s="35">
        <v>395</v>
      </c>
      <c r="L467" s="80"/>
      <c r="M467" s="83"/>
      <c r="N467" s="13">
        <v>0.56465083360671997</v>
      </c>
    </row>
    <row r="468" spans="1:14" x14ac:dyDescent="0.35">
      <c r="A468" s="89"/>
      <c r="B468" s="11" t="s">
        <v>11</v>
      </c>
      <c r="C468" s="12">
        <v>0.68606701940035275</v>
      </c>
      <c r="D468" s="11">
        <v>0.16578483245149911</v>
      </c>
      <c r="E468" s="12">
        <v>0.14462081128747789</v>
      </c>
      <c r="F468" s="11">
        <v>3.5273368606701938E-3</v>
      </c>
      <c r="G468" s="12">
        <v>389</v>
      </c>
      <c r="H468" s="11">
        <v>94</v>
      </c>
      <c r="I468" s="12">
        <v>82</v>
      </c>
      <c r="J468" s="11">
        <v>2</v>
      </c>
      <c r="K468" s="35">
        <v>567</v>
      </c>
      <c r="L468" s="80"/>
      <c r="M468" s="83"/>
      <c r="N468" s="13">
        <v>0.48479208350181602</v>
      </c>
    </row>
    <row r="469" spans="1:14" x14ac:dyDescent="0.35">
      <c r="A469" s="89"/>
      <c r="B469" s="11" t="s">
        <v>21</v>
      </c>
      <c r="C469" s="12">
        <v>0.32072368421052633</v>
      </c>
      <c r="D469" s="11">
        <v>0.53782894736842102</v>
      </c>
      <c r="E469" s="12">
        <v>0.13651315789473681</v>
      </c>
      <c r="F469" s="11">
        <v>4.9342105263157892E-3</v>
      </c>
      <c r="G469" s="12">
        <v>195</v>
      </c>
      <c r="H469" s="11">
        <v>327</v>
      </c>
      <c r="I469" s="12">
        <v>83</v>
      </c>
      <c r="J469" s="11">
        <v>3</v>
      </c>
      <c r="K469" s="35">
        <v>608</v>
      </c>
      <c r="L469" s="80"/>
      <c r="M469" s="83"/>
      <c r="N469" s="13">
        <v>0.64359647035598799</v>
      </c>
    </row>
    <row r="470" spans="1:14" ht="16" thickBot="1" x14ac:dyDescent="0.4">
      <c r="A470" s="90"/>
      <c r="B470" s="14" t="s">
        <v>381</v>
      </c>
      <c r="C470" s="15">
        <v>0.47023809523809518</v>
      </c>
      <c r="D470" s="14">
        <v>0.2232142857142857</v>
      </c>
      <c r="E470" s="15">
        <v>0.29464285714285721</v>
      </c>
      <c r="F470" s="14">
        <v>1.1904761904761901E-2</v>
      </c>
      <c r="G470" s="15">
        <v>158</v>
      </c>
      <c r="H470" s="14">
        <v>75</v>
      </c>
      <c r="I470" s="15">
        <v>99</v>
      </c>
      <c r="J470" s="14">
        <v>4</v>
      </c>
      <c r="K470" s="36">
        <v>336</v>
      </c>
      <c r="L470" s="81"/>
      <c r="M470" s="84"/>
      <c r="N470" s="16">
        <v>0.35944205522537198</v>
      </c>
    </row>
    <row r="471" spans="1:14" x14ac:dyDescent="0.35">
      <c r="A471" s="91" t="s">
        <v>448</v>
      </c>
      <c r="B471" s="17" t="s">
        <v>29</v>
      </c>
      <c r="C471" s="18">
        <v>0.25048169556840078</v>
      </c>
      <c r="D471" s="17">
        <v>0.46820809248554912</v>
      </c>
      <c r="E471" s="18">
        <v>0.1772639691714836</v>
      </c>
      <c r="F471" s="17">
        <v>0.10404624277456651</v>
      </c>
      <c r="G471" s="18">
        <v>130</v>
      </c>
      <c r="H471" s="17">
        <v>243</v>
      </c>
      <c r="I471" s="18">
        <v>92</v>
      </c>
      <c r="J471" s="17">
        <v>54</v>
      </c>
      <c r="K471" s="37">
        <v>519</v>
      </c>
      <c r="L471" s="76" t="s">
        <v>36</v>
      </c>
      <c r="M471" s="85">
        <v>0.88616979122161899</v>
      </c>
      <c r="N471" s="19">
        <v>-0.93061101436615001</v>
      </c>
    </row>
    <row r="472" spans="1:14" x14ac:dyDescent="0.35">
      <c r="A472" s="92"/>
      <c r="B472" s="20" t="s">
        <v>25</v>
      </c>
      <c r="C472" s="21">
        <v>0.17836257309941519</v>
      </c>
      <c r="D472" s="20">
        <v>0.62865497076023391</v>
      </c>
      <c r="E472" s="21">
        <v>0.1725146198830409</v>
      </c>
      <c r="F472" s="20">
        <v>2.046783625730994E-2</v>
      </c>
      <c r="G472" s="21">
        <v>61</v>
      </c>
      <c r="H472" s="20">
        <v>215</v>
      </c>
      <c r="I472" s="21">
        <v>59</v>
      </c>
      <c r="J472" s="20">
        <v>7</v>
      </c>
      <c r="K472" s="38">
        <v>342</v>
      </c>
      <c r="L472" s="77"/>
      <c r="M472" s="86"/>
      <c r="N472" s="22">
        <v>-0.77341848611831698</v>
      </c>
    </row>
    <row r="473" spans="1:14" x14ac:dyDescent="0.35">
      <c r="A473" s="92"/>
      <c r="B473" s="20" t="s">
        <v>63</v>
      </c>
      <c r="C473" s="21">
        <v>4.6610169491525417E-2</v>
      </c>
      <c r="D473" s="20">
        <v>0.46186440677966101</v>
      </c>
      <c r="E473" s="21">
        <v>4.2372881355932202E-2</v>
      </c>
      <c r="F473" s="20">
        <v>0.44915254237288138</v>
      </c>
      <c r="G473" s="21">
        <v>11</v>
      </c>
      <c r="H473" s="20">
        <v>109</v>
      </c>
      <c r="I473" s="21">
        <v>10</v>
      </c>
      <c r="J473" s="20">
        <v>106</v>
      </c>
      <c r="K473" s="38">
        <v>236</v>
      </c>
      <c r="L473" s="77"/>
      <c r="M473" s="86"/>
      <c r="N473" s="22">
        <v>-0.91559046506881703</v>
      </c>
    </row>
    <row r="474" spans="1:14" x14ac:dyDescent="0.35">
      <c r="A474" s="92"/>
      <c r="B474" s="20" t="s">
        <v>380</v>
      </c>
      <c r="C474" s="21">
        <v>0.17974683544303799</v>
      </c>
      <c r="D474" s="20">
        <v>0.61265822784810131</v>
      </c>
      <c r="E474" s="21">
        <v>0.19240506329113921</v>
      </c>
      <c r="F474" s="20">
        <v>1.518987341772152E-2</v>
      </c>
      <c r="G474" s="21">
        <v>71</v>
      </c>
      <c r="H474" s="20">
        <v>242</v>
      </c>
      <c r="I474" s="21">
        <v>76</v>
      </c>
      <c r="J474" s="20">
        <v>6</v>
      </c>
      <c r="K474" s="38">
        <v>395</v>
      </c>
      <c r="L474" s="77"/>
      <c r="M474" s="86"/>
      <c r="N474" s="22">
        <v>-0.77065145969390902</v>
      </c>
    </row>
    <row r="475" spans="1:14" x14ac:dyDescent="0.35">
      <c r="A475" s="92"/>
      <c r="B475" s="20" t="s">
        <v>11</v>
      </c>
      <c r="C475" s="21">
        <v>0.11816578483245151</v>
      </c>
      <c r="D475" s="20">
        <v>0.64021164021164023</v>
      </c>
      <c r="E475" s="21">
        <v>0.14638447971781299</v>
      </c>
      <c r="F475" s="20">
        <v>9.5238095238095233E-2</v>
      </c>
      <c r="G475" s="21">
        <v>67</v>
      </c>
      <c r="H475" s="20">
        <v>363</v>
      </c>
      <c r="I475" s="21">
        <v>83</v>
      </c>
      <c r="J475" s="20">
        <v>54</v>
      </c>
      <c r="K475" s="38">
        <v>567</v>
      </c>
      <c r="L475" s="77"/>
      <c r="M475" s="86"/>
      <c r="N475" s="22">
        <v>-0.75259661674499501</v>
      </c>
    </row>
    <row r="476" spans="1:14" x14ac:dyDescent="0.35">
      <c r="A476" s="92"/>
      <c r="B476" s="20" t="s">
        <v>21</v>
      </c>
      <c r="C476" s="21">
        <v>0.49835526315789469</v>
      </c>
      <c r="D476" s="20">
        <v>0.34375</v>
      </c>
      <c r="E476" s="21">
        <v>0.12664473684210531</v>
      </c>
      <c r="F476" s="20">
        <v>3.125E-2</v>
      </c>
      <c r="G476" s="21">
        <v>303</v>
      </c>
      <c r="H476" s="20">
        <v>209</v>
      </c>
      <c r="I476" s="21">
        <v>77</v>
      </c>
      <c r="J476" s="20">
        <v>19</v>
      </c>
      <c r="K476" s="38">
        <v>608</v>
      </c>
      <c r="L476" s="77"/>
      <c r="M476" s="86"/>
      <c r="N476" s="22">
        <v>-0.88578772544860795</v>
      </c>
    </row>
    <row r="477" spans="1:14" ht="16" thickBot="1" x14ac:dyDescent="0.4">
      <c r="A477" s="93"/>
      <c r="B477" s="26" t="s">
        <v>381</v>
      </c>
      <c r="C477" s="27">
        <v>0.12797619047619049</v>
      </c>
      <c r="D477" s="26">
        <v>0.69345238095238093</v>
      </c>
      <c r="E477" s="27">
        <v>0.1130952380952381</v>
      </c>
      <c r="F477" s="26">
        <v>6.5476190476190479E-2</v>
      </c>
      <c r="G477" s="27">
        <v>43</v>
      </c>
      <c r="H477" s="26">
        <v>233</v>
      </c>
      <c r="I477" s="27">
        <v>38</v>
      </c>
      <c r="J477" s="26">
        <v>22</v>
      </c>
      <c r="K477" s="39">
        <v>336</v>
      </c>
      <c r="L477" s="78"/>
      <c r="M477" s="87"/>
      <c r="N477" s="28">
        <v>-0.77292120456695601</v>
      </c>
    </row>
    <row r="478" spans="1:14" x14ac:dyDescent="0.35">
      <c r="A478" s="88" t="s">
        <v>449</v>
      </c>
      <c r="B478" s="8" t="s">
        <v>29</v>
      </c>
      <c r="C478" s="9">
        <v>0.51445086705202314</v>
      </c>
      <c r="D478" s="8">
        <v>0.38535645472061658</v>
      </c>
      <c r="E478" s="9">
        <v>7.7071290944123308E-2</v>
      </c>
      <c r="F478" s="8">
        <v>2.312138728323699E-2</v>
      </c>
      <c r="G478" s="9">
        <v>267</v>
      </c>
      <c r="H478" s="8">
        <v>200</v>
      </c>
      <c r="I478" s="9">
        <v>40</v>
      </c>
      <c r="J478" s="8">
        <v>12</v>
      </c>
      <c r="K478" s="34">
        <v>519</v>
      </c>
      <c r="L478" s="79" t="s">
        <v>10</v>
      </c>
      <c r="M478" s="82">
        <v>-0.66224861145019498</v>
      </c>
      <c r="N478" s="10">
        <v>0.51422119140625</v>
      </c>
    </row>
    <row r="479" spans="1:14" x14ac:dyDescent="0.35">
      <c r="A479" s="89"/>
      <c r="B479" s="11" t="s">
        <v>25</v>
      </c>
      <c r="C479" s="12">
        <v>0.58187134502923976</v>
      </c>
      <c r="D479" s="11">
        <v>0.19298245614035089</v>
      </c>
      <c r="E479" s="12">
        <v>0.195906432748538</v>
      </c>
      <c r="F479" s="11">
        <v>2.923976608187134E-2</v>
      </c>
      <c r="G479" s="12">
        <v>199</v>
      </c>
      <c r="H479" s="11">
        <v>66</v>
      </c>
      <c r="I479" s="12">
        <v>67</v>
      </c>
      <c r="J479" s="11">
        <v>10</v>
      </c>
      <c r="K479" s="35">
        <v>342</v>
      </c>
      <c r="L479" s="80"/>
      <c r="M479" s="83"/>
      <c r="N479" s="13">
        <v>0.58850550651550304</v>
      </c>
    </row>
    <row r="480" spans="1:14" x14ac:dyDescent="0.35">
      <c r="A480" s="89"/>
      <c r="B480" s="11" t="s">
        <v>63</v>
      </c>
      <c r="C480" s="12">
        <v>0.66949152542372881</v>
      </c>
      <c r="D480" s="11">
        <v>7.2033898305084748E-2</v>
      </c>
      <c r="E480" s="12">
        <v>0.2288135593220339</v>
      </c>
      <c r="F480" s="11">
        <v>2.966101694915254E-2</v>
      </c>
      <c r="G480" s="12">
        <v>158</v>
      </c>
      <c r="H480" s="11">
        <v>17</v>
      </c>
      <c r="I480" s="12">
        <v>54</v>
      </c>
      <c r="J480" s="11">
        <v>7</v>
      </c>
      <c r="K480" s="35">
        <v>236</v>
      </c>
      <c r="L480" s="80"/>
      <c r="M480" s="83"/>
      <c r="N480" s="13">
        <v>0.17856413125991799</v>
      </c>
    </row>
    <row r="481" spans="1:14" x14ac:dyDescent="0.35">
      <c r="A481" s="89"/>
      <c r="B481" s="11" t="s">
        <v>380</v>
      </c>
      <c r="C481" s="12">
        <v>0.72911392405063291</v>
      </c>
      <c r="D481" s="11">
        <v>0.12658227848101269</v>
      </c>
      <c r="E481" s="12">
        <v>0.12151898734177211</v>
      </c>
      <c r="F481" s="11">
        <v>2.2784810126582278E-2</v>
      </c>
      <c r="G481" s="12">
        <v>288</v>
      </c>
      <c r="H481" s="11">
        <v>50</v>
      </c>
      <c r="I481" s="12">
        <v>48</v>
      </c>
      <c r="J481" s="11">
        <v>9</v>
      </c>
      <c r="K481" s="35">
        <v>395</v>
      </c>
      <c r="L481" s="80"/>
      <c r="M481" s="83"/>
      <c r="N481" s="13">
        <v>0.64291983842849698</v>
      </c>
    </row>
    <row r="482" spans="1:14" x14ac:dyDescent="0.35">
      <c r="A482" s="89"/>
      <c r="B482" s="11" t="s">
        <v>11</v>
      </c>
      <c r="C482" s="12">
        <v>0.80246913580246915</v>
      </c>
      <c r="D482" s="11">
        <v>0.10934744268077599</v>
      </c>
      <c r="E482" s="12">
        <v>6.7019400352733682E-2</v>
      </c>
      <c r="F482" s="11">
        <v>2.1164021164021159E-2</v>
      </c>
      <c r="G482" s="12">
        <v>455</v>
      </c>
      <c r="H482" s="11">
        <v>62</v>
      </c>
      <c r="I482" s="12">
        <v>38</v>
      </c>
      <c r="J482" s="11">
        <v>12</v>
      </c>
      <c r="K482" s="35">
        <v>567</v>
      </c>
      <c r="L482" s="80"/>
      <c r="M482" s="83"/>
      <c r="N482" s="13">
        <v>0.70641797780990601</v>
      </c>
    </row>
    <row r="483" spans="1:14" x14ac:dyDescent="0.35">
      <c r="A483" s="89"/>
      <c r="B483" s="11" t="s">
        <v>21</v>
      </c>
      <c r="C483" s="12">
        <v>0.40131578947368418</v>
      </c>
      <c r="D483" s="11">
        <v>0.48355263157894729</v>
      </c>
      <c r="E483" s="12">
        <v>0.1019736842105263</v>
      </c>
      <c r="F483" s="11">
        <v>1.3157894736842099E-2</v>
      </c>
      <c r="G483" s="12">
        <v>244</v>
      </c>
      <c r="H483" s="11">
        <v>294</v>
      </c>
      <c r="I483" s="12">
        <v>62</v>
      </c>
      <c r="J483" s="11">
        <v>8</v>
      </c>
      <c r="K483" s="35">
        <v>608</v>
      </c>
      <c r="L483" s="80"/>
      <c r="M483" s="83"/>
      <c r="N483" s="13">
        <v>0.568711638450623</v>
      </c>
    </row>
    <row r="484" spans="1:14" ht="16" thickBot="1" x14ac:dyDescent="0.4">
      <c r="A484" s="90"/>
      <c r="B484" s="14" t="s">
        <v>381</v>
      </c>
      <c r="C484" s="15">
        <v>0.55654761904761907</v>
      </c>
      <c r="D484" s="14">
        <v>0.23214285714285721</v>
      </c>
      <c r="E484" s="15">
        <v>0.1964285714285714</v>
      </c>
      <c r="F484" s="14">
        <v>1.488095238095238E-2</v>
      </c>
      <c r="G484" s="15">
        <v>187</v>
      </c>
      <c r="H484" s="14">
        <v>78</v>
      </c>
      <c r="I484" s="15">
        <v>66</v>
      </c>
      <c r="J484" s="14">
        <v>5</v>
      </c>
      <c r="K484" s="36">
        <v>336</v>
      </c>
      <c r="L484" s="81"/>
      <c r="M484" s="84"/>
      <c r="N484" s="16">
        <v>0.56985843181610096</v>
      </c>
    </row>
    <row r="485" spans="1:14" x14ac:dyDescent="0.35">
      <c r="A485" s="91" t="s">
        <v>450</v>
      </c>
      <c r="B485" s="17" t="s">
        <v>29</v>
      </c>
      <c r="C485" s="18">
        <v>0.60886319845857417</v>
      </c>
      <c r="D485" s="17">
        <v>0.38342967244701348</v>
      </c>
      <c r="E485" s="18">
        <v>1.926782273603083E-3</v>
      </c>
      <c r="F485" s="17">
        <v>5.7803468208092483E-3</v>
      </c>
      <c r="G485" s="18">
        <v>316</v>
      </c>
      <c r="H485" s="17">
        <v>199</v>
      </c>
      <c r="I485" s="18">
        <v>1</v>
      </c>
      <c r="J485" s="17">
        <v>3</v>
      </c>
      <c r="K485" s="37">
        <v>519</v>
      </c>
      <c r="L485" s="76" t="s">
        <v>31</v>
      </c>
      <c r="M485" s="85">
        <v>-0.93967008590698198</v>
      </c>
      <c r="N485" s="19">
        <v>0.91248816251754805</v>
      </c>
    </row>
    <row r="486" spans="1:14" x14ac:dyDescent="0.35">
      <c r="A486" s="92"/>
      <c r="B486" s="20" t="s">
        <v>25</v>
      </c>
      <c r="C486" s="21">
        <v>0.65789473684210531</v>
      </c>
      <c r="D486" s="20">
        <v>0.32456140350877188</v>
      </c>
      <c r="E486" s="21">
        <v>8.771929824561403E-3</v>
      </c>
      <c r="F486" s="20">
        <v>8.771929824561403E-3</v>
      </c>
      <c r="G486" s="21">
        <v>225</v>
      </c>
      <c r="H486" s="20">
        <v>111</v>
      </c>
      <c r="I486" s="21">
        <v>3</v>
      </c>
      <c r="J486" s="20">
        <v>3</v>
      </c>
      <c r="K486" s="38">
        <v>342</v>
      </c>
      <c r="L486" s="77"/>
      <c r="M486" s="86"/>
      <c r="N486" s="22">
        <v>0.90028768777847301</v>
      </c>
    </row>
    <row r="487" spans="1:14" x14ac:dyDescent="0.35">
      <c r="A487" s="92"/>
      <c r="B487" s="20" t="s">
        <v>63</v>
      </c>
      <c r="C487" s="21">
        <v>0.76694915254237284</v>
      </c>
      <c r="D487" s="20">
        <v>0.21610169491525419</v>
      </c>
      <c r="E487" s="21">
        <v>4.2372881355932203E-3</v>
      </c>
      <c r="F487" s="20">
        <v>1.271186440677966E-2</v>
      </c>
      <c r="G487" s="21">
        <v>181</v>
      </c>
      <c r="H487" s="20">
        <v>51</v>
      </c>
      <c r="I487" s="21">
        <v>1</v>
      </c>
      <c r="J487" s="20">
        <v>3</v>
      </c>
      <c r="K487" s="38">
        <v>236</v>
      </c>
      <c r="L487" s="77"/>
      <c r="M487" s="86"/>
      <c r="N487" s="22">
        <v>0.51292020082473799</v>
      </c>
    </row>
    <row r="488" spans="1:14" x14ac:dyDescent="0.35">
      <c r="A488" s="92"/>
      <c r="B488" s="20" t="s">
        <v>380</v>
      </c>
      <c r="C488" s="21">
        <v>0.78734177215189871</v>
      </c>
      <c r="D488" s="20">
        <v>0.20759493670886081</v>
      </c>
      <c r="E488" s="21">
        <v>5.0632911392405064E-3</v>
      </c>
      <c r="F488" s="20">
        <v>0</v>
      </c>
      <c r="G488" s="21">
        <v>311</v>
      </c>
      <c r="H488" s="20">
        <v>82</v>
      </c>
      <c r="I488" s="21">
        <v>2</v>
      </c>
      <c r="J488" s="20">
        <v>0</v>
      </c>
      <c r="K488" s="38">
        <v>395</v>
      </c>
      <c r="L488" s="77"/>
      <c r="M488" s="86"/>
      <c r="N488" s="22">
        <v>0.88944154977798495</v>
      </c>
    </row>
    <row r="489" spans="1:14" x14ac:dyDescent="0.35">
      <c r="A489" s="92"/>
      <c r="B489" s="20" t="s">
        <v>11</v>
      </c>
      <c r="C489" s="21">
        <v>0.81481481481481477</v>
      </c>
      <c r="D489" s="20">
        <v>0.18342151675485011</v>
      </c>
      <c r="E489" s="21">
        <v>0</v>
      </c>
      <c r="F489" s="20">
        <v>1.7636684303350969E-3</v>
      </c>
      <c r="G489" s="21">
        <v>462</v>
      </c>
      <c r="H489" s="20">
        <v>104</v>
      </c>
      <c r="I489" s="21">
        <v>0</v>
      </c>
      <c r="J489" s="20">
        <v>1</v>
      </c>
      <c r="K489" s="38">
        <v>567</v>
      </c>
      <c r="L489" s="77"/>
      <c r="M489" s="86"/>
      <c r="N489" s="22">
        <v>0.76289844512939498</v>
      </c>
    </row>
    <row r="490" spans="1:14" x14ac:dyDescent="0.35">
      <c r="A490" s="92"/>
      <c r="B490" s="20" t="s">
        <v>21</v>
      </c>
      <c r="C490" s="21">
        <v>0.45559210526315791</v>
      </c>
      <c r="D490" s="20">
        <v>0.54276315789473684</v>
      </c>
      <c r="E490" s="21">
        <v>0</v>
      </c>
      <c r="F490" s="20">
        <v>1.6447368421052631E-3</v>
      </c>
      <c r="G490" s="21">
        <v>277</v>
      </c>
      <c r="H490" s="20">
        <v>330</v>
      </c>
      <c r="I490" s="21">
        <v>0</v>
      </c>
      <c r="J490" s="20">
        <v>1</v>
      </c>
      <c r="K490" s="38">
        <v>608</v>
      </c>
      <c r="L490" s="77"/>
      <c r="M490" s="86"/>
      <c r="N490" s="22">
        <v>0.92899322509765603</v>
      </c>
    </row>
    <row r="491" spans="1:14" ht="16" thickBot="1" x14ac:dyDescent="0.4">
      <c r="A491" s="93"/>
      <c r="B491" s="26" t="s">
        <v>381</v>
      </c>
      <c r="C491" s="27">
        <v>0.71726190476190477</v>
      </c>
      <c r="D491" s="26">
        <v>0.26190476190476192</v>
      </c>
      <c r="E491" s="27">
        <v>1.488095238095238E-2</v>
      </c>
      <c r="F491" s="26">
        <v>5.9523809523809521E-3</v>
      </c>
      <c r="G491" s="27">
        <v>241</v>
      </c>
      <c r="H491" s="26">
        <v>88</v>
      </c>
      <c r="I491" s="27">
        <v>5</v>
      </c>
      <c r="J491" s="26">
        <v>2</v>
      </c>
      <c r="K491" s="39">
        <v>336</v>
      </c>
      <c r="L491" s="78"/>
      <c r="M491" s="87"/>
      <c r="N491" s="28">
        <v>0.86016905307769798</v>
      </c>
    </row>
    <row r="492" spans="1:14" x14ac:dyDescent="0.35">
      <c r="A492" s="88" t="s">
        <v>451</v>
      </c>
      <c r="B492" s="8" t="s">
        <v>29</v>
      </c>
      <c r="C492" s="9">
        <v>0.53949903660886322</v>
      </c>
      <c r="D492" s="8">
        <v>0.42003853564547211</v>
      </c>
      <c r="E492" s="9">
        <v>2.6974951830443159E-2</v>
      </c>
      <c r="F492" s="8">
        <v>1.348747591522158E-2</v>
      </c>
      <c r="G492" s="9">
        <v>280</v>
      </c>
      <c r="H492" s="8">
        <v>218</v>
      </c>
      <c r="I492" s="9">
        <v>14</v>
      </c>
      <c r="J492" s="8">
        <v>7</v>
      </c>
      <c r="K492" s="34">
        <v>519</v>
      </c>
      <c r="L492" s="79" t="s">
        <v>10</v>
      </c>
      <c r="M492" s="82">
        <v>-0.77736443281173695</v>
      </c>
      <c r="N492" s="10">
        <v>0.55024790763855003</v>
      </c>
    </row>
    <row r="493" spans="1:14" x14ac:dyDescent="0.35">
      <c r="A493" s="89"/>
      <c r="B493" s="11" t="s">
        <v>25</v>
      </c>
      <c r="C493" s="12">
        <v>0.49415204678362568</v>
      </c>
      <c r="D493" s="11">
        <v>0.30994152046783618</v>
      </c>
      <c r="E493" s="12">
        <v>7.8947368421052627E-2</v>
      </c>
      <c r="F493" s="11">
        <v>0.1169590643274854</v>
      </c>
      <c r="G493" s="12">
        <v>169</v>
      </c>
      <c r="H493" s="11">
        <v>106</v>
      </c>
      <c r="I493" s="12">
        <v>27</v>
      </c>
      <c r="J493" s="11">
        <v>40</v>
      </c>
      <c r="K493" s="35">
        <v>342</v>
      </c>
      <c r="L493" s="80"/>
      <c r="M493" s="83"/>
      <c r="N493" s="13">
        <v>0.62981128692626998</v>
      </c>
    </row>
    <row r="494" spans="1:14" x14ac:dyDescent="0.35">
      <c r="A494" s="89"/>
      <c r="B494" s="11" t="s">
        <v>63</v>
      </c>
      <c r="C494" s="12">
        <v>0.69067796610169496</v>
      </c>
      <c r="D494" s="11">
        <v>0.1186440677966102</v>
      </c>
      <c r="E494" s="12">
        <v>0.17372881355932199</v>
      </c>
      <c r="F494" s="11">
        <v>1.6949152542372881E-2</v>
      </c>
      <c r="G494" s="12">
        <v>163</v>
      </c>
      <c r="H494" s="11">
        <v>28</v>
      </c>
      <c r="I494" s="12">
        <v>41</v>
      </c>
      <c r="J494" s="11">
        <v>4</v>
      </c>
      <c r="K494" s="35">
        <v>236</v>
      </c>
      <c r="L494" s="80"/>
      <c r="M494" s="83"/>
      <c r="N494" s="13">
        <v>0.255724728107452</v>
      </c>
    </row>
    <row r="495" spans="1:14" x14ac:dyDescent="0.35">
      <c r="A495" s="89"/>
      <c r="B495" s="11" t="s">
        <v>380</v>
      </c>
      <c r="C495" s="12">
        <v>0.76455696202531642</v>
      </c>
      <c r="D495" s="11">
        <v>0.16708860759493671</v>
      </c>
      <c r="E495" s="12">
        <v>6.3291139240506333E-2</v>
      </c>
      <c r="F495" s="11">
        <v>5.0632911392405064E-3</v>
      </c>
      <c r="G495" s="12">
        <v>302</v>
      </c>
      <c r="H495" s="11">
        <v>66</v>
      </c>
      <c r="I495" s="12">
        <v>25</v>
      </c>
      <c r="J495" s="11">
        <v>2</v>
      </c>
      <c r="K495" s="35">
        <v>395</v>
      </c>
      <c r="L495" s="80"/>
      <c r="M495" s="83"/>
      <c r="N495" s="13">
        <v>0.78051185607910201</v>
      </c>
    </row>
    <row r="496" spans="1:14" x14ac:dyDescent="0.35">
      <c r="A496" s="89"/>
      <c r="B496" s="11" t="s">
        <v>11</v>
      </c>
      <c r="C496" s="12">
        <v>0.80952380952380953</v>
      </c>
      <c r="D496" s="11">
        <v>0.1199294532627866</v>
      </c>
      <c r="E496" s="12">
        <v>4.7619047619047623E-2</v>
      </c>
      <c r="F496" s="11">
        <v>2.292768959435626E-2</v>
      </c>
      <c r="G496" s="12">
        <v>459</v>
      </c>
      <c r="H496" s="11">
        <v>68</v>
      </c>
      <c r="I496" s="12">
        <v>27</v>
      </c>
      <c r="J496" s="11">
        <v>13</v>
      </c>
      <c r="K496" s="35">
        <v>567</v>
      </c>
      <c r="L496" s="80"/>
      <c r="M496" s="83"/>
      <c r="N496" s="13">
        <v>0.81973910331726096</v>
      </c>
    </row>
    <row r="497" spans="1:14" x14ac:dyDescent="0.35">
      <c r="A497" s="89"/>
      <c r="B497" s="11" t="s">
        <v>21</v>
      </c>
      <c r="C497" s="12">
        <v>0.39967105263157893</v>
      </c>
      <c r="D497" s="11">
        <v>0.51151315789473684</v>
      </c>
      <c r="E497" s="12">
        <v>6.4144736842105268E-2</v>
      </c>
      <c r="F497" s="11">
        <v>2.4671052631578951E-2</v>
      </c>
      <c r="G497" s="12">
        <v>243</v>
      </c>
      <c r="H497" s="11">
        <v>311</v>
      </c>
      <c r="I497" s="12">
        <v>39</v>
      </c>
      <c r="J497" s="11">
        <v>15</v>
      </c>
      <c r="K497" s="35">
        <v>608</v>
      </c>
      <c r="L497" s="80"/>
      <c r="M497" s="83"/>
      <c r="N497" s="13">
        <v>0.82455873489379905</v>
      </c>
    </row>
    <row r="498" spans="1:14" ht="16" thickBot="1" x14ac:dyDescent="0.4">
      <c r="A498" s="90"/>
      <c r="B498" s="14" t="s">
        <v>381</v>
      </c>
      <c r="C498" s="15">
        <v>0.57738095238095233</v>
      </c>
      <c r="D498" s="14">
        <v>0.25595238095238088</v>
      </c>
      <c r="E498" s="15">
        <v>0.13988095238095241</v>
      </c>
      <c r="F498" s="14">
        <v>2.6785714285714281E-2</v>
      </c>
      <c r="G498" s="15">
        <v>194</v>
      </c>
      <c r="H498" s="14">
        <v>86</v>
      </c>
      <c r="I498" s="15">
        <v>47</v>
      </c>
      <c r="J498" s="14">
        <v>9</v>
      </c>
      <c r="K498" s="36">
        <v>336</v>
      </c>
      <c r="L498" s="81"/>
      <c r="M498" s="84"/>
      <c r="N498" s="16">
        <v>0.64725768566131603</v>
      </c>
    </row>
    <row r="499" spans="1:14" x14ac:dyDescent="0.35">
      <c r="A499" s="91" t="s">
        <v>452</v>
      </c>
      <c r="B499" s="17" t="s">
        <v>29</v>
      </c>
      <c r="C499" s="18">
        <v>0.5780346820809249</v>
      </c>
      <c r="D499" s="17">
        <v>0.26974951830443161</v>
      </c>
      <c r="E499" s="18">
        <v>0.1425818882466281</v>
      </c>
      <c r="F499" s="17">
        <v>9.6339113680154135E-3</v>
      </c>
      <c r="G499" s="18">
        <v>300</v>
      </c>
      <c r="H499" s="17">
        <v>140</v>
      </c>
      <c r="I499" s="18">
        <v>74</v>
      </c>
      <c r="J499" s="17">
        <v>5</v>
      </c>
      <c r="K499" s="37">
        <v>519</v>
      </c>
      <c r="L499" s="76" t="s">
        <v>23</v>
      </c>
      <c r="M499" s="85">
        <v>-0.156720370054245</v>
      </c>
      <c r="N499" s="19">
        <v>2.5071645155549001E-2</v>
      </c>
    </row>
    <row r="500" spans="1:14" x14ac:dyDescent="0.35">
      <c r="A500" s="92"/>
      <c r="B500" s="20" t="s">
        <v>25</v>
      </c>
      <c r="C500" s="21">
        <v>0.57894736842105265</v>
      </c>
      <c r="D500" s="20">
        <v>0.22222222222222221</v>
      </c>
      <c r="E500" s="21">
        <v>0.1871345029239766</v>
      </c>
      <c r="F500" s="20">
        <v>1.1695906432748541E-2</v>
      </c>
      <c r="G500" s="21">
        <v>198</v>
      </c>
      <c r="H500" s="20">
        <v>76</v>
      </c>
      <c r="I500" s="21">
        <v>64</v>
      </c>
      <c r="J500" s="20">
        <v>4</v>
      </c>
      <c r="K500" s="38">
        <v>342</v>
      </c>
      <c r="L500" s="77"/>
      <c r="M500" s="86"/>
      <c r="N500" s="22">
        <v>0.26835164427757302</v>
      </c>
    </row>
    <row r="501" spans="1:14" x14ac:dyDescent="0.35">
      <c r="A501" s="92"/>
      <c r="B501" s="20" t="s">
        <v>63</v>
      </c>
      <c r="C501" s="21">
        <v>0.53813559322033899</v>
      </c>
      <c r="D501" s="20">
        <v>0.24152542372881361</v>
      </c>
      <c r="E501" s="21">
        <v>0.21186440677966101</v>
      </c>
      <c r="F501" s="20">
        <v>8.4745762711864406E-3</v>
      </c>
      <c r="G501" s="21">
        <v>127</v>
      </c>
      <c r="H501" s="20">
        <v>57</v>
      </c>
      <c r="I501" s="21">
        <v>50</v>
      </c>
      <c r="J501" s="20">
        <v>2</v>
      </c>
      <c r="K501" s="38">
        <v>236</v>
      </c>
      <c r="L501" s="77"/>
      <c r="M501" s="86"/>
      <c r="N501" s="22">
        <v>-0.14216041564941401</v>
      </c>
    </row>
    <row r="502" spans="1:14" x14ac:dyDescent="0.35">
      <c r="A502" s="92"/>
      <c r="B502" s="20" t="s">
        <v>380</v>
      </c>
      <c r="C502" s="21">
        <v>0.60759493670886078</v>
      </c>
      <c r="D502" s="20">
        <v>0.19240506329113921</v>
      </c>
      <c r="E502" s="21">
        <v>0.17974683544303799</v>
      </c>
      <c r="F502" s="20">
        <v>2.0253164556962029E-2</v>
      </c>
      <c r="G502" s="21">
        <v>240</v>
      </c>
      <c r="H502" s="20">
        <v>76</v>
      </c>
      <c r="I502" s="21">
        <v>71</v>
      </c>
      <c r="J502" s="20">
        <v>8</v>
      </c>
      <c r="K502" s="38">
        <v>395</v>
      </c>
      <c r="L502" s="77"/>
      <c r="M502" s="86"/>
      <c r="N502" s="22">
        <v>0.17032887041568801</v>
      </c>
    </row>
    <row r="503" spans="1:14" x14ac:dyDescent="0.35">
      <c r="A503" s="92"/>
      <c r="B503" s="20" t="s">
        <v>11</v>
      </c>
      <c r="C503" s="21">
        <v>0.61199294532627868</v>
      </c>
      <c r="D503" s="20">
        <v>0.26984126984126983</v>
      </c>
      <c r="E503" s="21">
        <v>0.1111111111111111</v>
      </c>
      <c r="F503" s="20">
        <v>7.0546737213403876E-3</v>
      </c>
      <c r="G503" s="21">
        <v>347</v>
      </c>
      <c r="H503" s="20">
        <v>153</v>
      </c>
      <c r="I503" s="21">
        <v>63</v>
      </c>
      <c r="J503" s="20">
        <v>4</v>
      </c>
      <c r="K503" s="38">
        <v>567</v>
      </c>
      <c r="L503" s="77"/>
      <c r="M503" s="86"/>
      <c r="N503" s="22">
        <v>0.23050189018249501</v>
      </c>
    </row>
    <row r="504" spans="1:14" x14ac:dyDescent="0.35">
      <c r="A504" s="92"/>
      <c r="B504" s="20" t="s">
        <v>21</v>
      </c>
      <c r="C504" s="21">
        <v>0.58059210526315785</v>
      </c>
      <c r="D504" s="20">
        <v>0.20888157894736839</v>
      </c>
      <c r="E504" s="21">
        <v>0.2039473684210526</v>
      </c>
      <c r="F504" s="20">
        <v>6.5789473684210523E-3</v>
      </c>
      <c r="G504" s="21">
        <v>353</v>
      </c>
      <c r="H504" s="20">
        <v>127</v>
      </c>
      <c r="I504" s="21">
        <v>124</v>
      </c>
      <c r="J504" s="20">
        <v>4</v>
      </c>
      <c r="K504" s="38">
        <v>608</v>
      </c>
      <c r="L504" s="77"/>
      <c r="M504" s="86"/>
      <c r="N504" s="22">
        <v>3.9636008441448198E-2</v>
      </c>
    </row>
    <row r="505" spans="1:14" ht="16" thickBot="1" x14ac:dyDescent="0.4">
      <c r="A505" s="93"/>
      <c r="B505" s="26" t="s">
        <v>381</v>
      </c>
      <c r="C505" s="27">
        <v>0.5714285714285714</v>
      </c>
      <c r="D505" s="26">
        <v>0.20238095238095241</v>
      </c>
      <c r="E505" s="27">
        <v>0.22023809523809521</v>
      </c>
      <c r="F505" s="26">
        <v>5.9523809523809521E-3</v>
      </c>
      <c r="G505" s="27">
        <v>192</v>
      </c>
      <c r="H505" s="26">
        <v>68</v>
      </c>
      <c r="I505" s="27">
        <v>74</v>
      </c>
      <c r="J505" s="26">
        <v>2</v>
      </c>
      <c r="K505" s="39">
        <v>336</v>
      </c>
      <c r="L505" s="78"/>
      <c r="M505" s="87"/>
      <c r="N505" s="28">
        <v>8.8698416948318495E-2</v>
      </c>
    </row>
    <row r="506" spans="1:14" x14ac:dyDescent="0.35">
      <c r="A506" s="88" t="s">
        <v>453</v>
      </c>
      <c r="B506" s="8" t="s">
        <v>29</v>
      </c>
      <c r="C506" s="9">
        <v>0.56454720616570331</v>
      </c>
      <c r="D506" s="8">
        <v>0.38535645472061658</v>
      </c>
      <c r="E506" s="9">
        <v>3.0828516377649329E-2</v>
      </c>
      <c r="F506" s="8">
        <v>1.926782273603083E-2</v>
      </c>
      <c r="G506" s="9">
        <v>293</v>
      </c>
      <c r="H506" s="8">
        <v>200</v>
      </c>
      <c r="I506" s="9">
        <v>16</v>
      </c>
      <c r="J506" s="8">
        <v>10</v>
      </c>
      <c r="K506" s="34">
        <v>519</v>
      </c>
      <c r="L506" s="79" t="s">
        <v>10</v>
      </c>
      <c r="M506" s="82">
        <v>-0.92065101861953702</v>
      </c>
      <c r="N506" s="10">
        <v>0.89560073614120495</v>
      </c>
    </row>
    <row r="507" spans="1:14" x14ac:dyDescent="0.35">
      <c r="A507" s="89"/>
      <c r="B507" s="11" t="s">
        <v>25</v>
      </c>
      <c r="C507" s="12">
        <v>0.5935672514619883</v>
      </c>
      <c r="D507" s="11">
        <v>0.30116959064327492</v>
      </c>
      <c r="E507" s="12">
        <v>2.6315789473684209E-2</v>
      </c>
      <c r="F507" s="11">
        <v>7.8947368421052627E-2</v>
      </c>
      <c r="G507" s="12">
        <v>203</v>
      </c>
      <c r="H507" s="11">
        <v>103</v>
      </c>
      <c r="I507" s="12">
        <v>9</v>
      </c>
      <c r="J507" s="11">
        <v>27</v>
      </c>
      <c r="K507" s="35">
        <v>342</v>
      </c>
      <c r="L507" s="80"/>
      <c r="M507" s="83"/>
      <c r="N507" s="13">
        <v>0.86608636379241899</v>
      </c>
    </row>
    <row r="508" spans="1:14" x14ac:dyDescent="0.35">
      <c r="A508" s="89"/>
      <c r="B508" s="11" t="s">
        <v>63</v>
      </c>
      <c r="C508" s="12">
        <v>0.75423728813559321</v>
      </c>
      <c r="D508" s="11">
        <v>0.1864406779661017</v>
      </c>
      <c r="E508" s="12">
        <v>1.271186440677966E-2</v>
      </c>
      <c r="F508" s="11">
        <v>4.6610169491525417E-2</v>
      </c>
      <c r="G508" s="12">
        <v>178</v>
      </c>
      <c r="H508" s="11">
        <v>44</v>
      </c>
      <c r="I508" s="12">
        <v>3</v>
      </c>
      <c r="J508" s="11">
        <v>11</v>
      </c>
      <c r="K508" s="35">
        <v>236</v>
      </c>
      <c r="L508" s="80"/>
      <c r="M508" s="83"/>
      <c r="N508" s="13">
        <v>0.65672576427459695</v>
      </c>
    </row>
    <row r="509" spans="1:14" x14ac:dyDescent="0.35">
      <c r="A509" s="89"/>
      <c r="B509" s="11" t="s">
        <v>380</v>
      </c>
      <c r="C509" s="12">
        <v>0.76708860759493669</v>
      </c>
      <c r="D509" s="11">
        <v>0.19240506329113921</v>
      </c>
      <c r="E509" s="12">
        <v>2.7848101265822781E-2</v>
      </c>
      <c r="F509" s="11">
        <v>1.2658227848101271E-2</v>
      </c>
      <c r="G509" s="12">
        <v>303</v>
      </c>
      <c r="H509" s="11">
        <v>76</v>
      </c>
      <c r="I509" s="12">
        <v>11</v>
      </c>
      <c r="J509" s="11">
        <v>5</v>
      </c>
      <c r="K509" s="35">
        <v>395</v>
      </c>
      <c r="L509" s="80"/>
      <c r="M509" s="83"/>
      <c r="N509" s="13">
        <v>0.93944388628006004</v>
      </c>
    </row>
    <row r="510" spans="1:14" x14ac:dyDescent="0.35">
      <c r="A510" s="89"/>
      <c r="B510" s="11" t="s">
        <v>11</v>
      </c>
      <c r="C510" s="12">
        <v>0.73015873015873012</v>
      </c>
      <c r="D510" s="11">
        <v>0.20634920634920631</v>
      </c>
      <c r="E510" s="12">
        <v>4.2328042328042333E-2</v>
      </c>
      <c r="F510" s="11">
        <v>2.1164021164021159E-2</v>
      </c>
      <c r="G510" s="12">
        <v>414</v>
      </c>
      <c r="H510" s="11">
        <v>117</v>
      </c>
      <c r="I510" s="12">
        <v>24</v>
      </c>
      <c r="J510" s="11">
        <v>12</v>
      </c>
      <c r="K510" s="35">
        <v>567</v>
      </c>
      <c r="L510" s="80"/>
      <c r="M510" s="83"/>
      <c r="N510" s="13">
        <v>0.67329758405685403</v>
      </c>
    </row>
    <row r="511" spans="1:14" x14ac:dyDescent="0.35">
      <c r="A511" s="89"/>
      <c r="B511" s="11" t="s">
        <v>21</v>
      </c>
      <c r="C511" s="12">
        <v>0.44078947368421051</v>
      </c>
      <c r="D511" s="11">
        <v>0.52631578947368418</v>
      </c>
      <c r="E511" s="12">
        <v>3.2894736842105261E-3</v>
      </c>
      <c r="F511" s="11">
        <v>2.9605263157894739E-2</v>
      </c>
      <c r="G511" s="12">
        <v>268</v>
      </c>
      <c r="H511" s="11">
        <v>320</v>
      </c>
      <c r="I511" s="12">
        <v>2</v>
      </c>
      <c r="J511" s="11">
        <v>18</v>
      </c>
      <c r="K511" s="35">
        <v>608</v>
      </c>
      <c r="L511" s="80"/>
      <c r="M511" s="83"/>
      <c r="N511" s="13">
        <v>0.94192898273467995</v>
      </c>
    </row>
    <row r="512" spans="1:14" ht="16" thickBot="1" x14ac:dyDescent="0.4">
      <c r="A512" s="90"/>
      <c r="B512" s="14" t="s">
        <v>381</v>
      </c>
      <c r="C512" s="15">
        <v>0.6339285714285714</v>
      </c>
      <c r="D512" s="14">
        <v>0.27976190476190482</v>
      </c>
      <c r="E512" s="15">
        <v>7.7380952380952384E-2</v>
      </c>
      <c r="F512" s="14">
        <v>8.9285714285714281E-3</v>
      </c>
      <c r="G512" s="15">
        <v>213</v>
      </c>
      <c r="H512" s="14">
        <v>94</v>
      </c>
      <c r="I512" s="15">
        <v>26</v>
      </c>
      <c r="J512" s="14">
        <v>3</v>
      </c>
      <c r="K512" s="36">
        <v>336</v>
      </c>
      <c r="L512" s="81"/>
      <c r="M512" s="84"/>
      <c r="N512" s="16">
        <v>0.76665610074996904</v>
      </c>
    </row>
    <row r="513" spans="1:14" x14ac:dyDescent="0.35">
      <c r="A513" s="91" t="s">
        <v>454</v>
      </c>
      <c r="B513" s="17" t="s">
        <v>29</v>
      </c>
      <c r="C513" s="18">
        <v>0.57996146435452789</v>
      </c>
      <c r="D513" s="17">
        <v>0.36416184971098259</v>
      </c>
      <c r="E513" s="18">
        <v>7.7071290944123313E-3</v>
      </c>
      <c r="F513" s="17">
        <v>4.8169556840077073E-2</v>
      </c>
      <c r="G513" s="18">
        <v>301</v>
      </c>
      <c r="H513" s="17">
        <v>189</v>
      </c>
      <c r="I513" s="18">
        <v>4</v>
      </c>
      <c r="J513" s="17">
        <v>25</v>
      </c>
      <c r="K513" s="37">
        <v>519</v>
      </c>
      <c r="L513" s="76" t="s">
        <v>10</v>
      </c>
      <c r="M513" s="85">
        <v>-0.91749948263168302</v>
      </c>
      <c r="N513" s="19">
        <v>0.88206249475479104</v>
      </c>
    </row>
    <row r="514" spans="1:14" x14ac:dyDescent="0.35">
      <c r="A514" s="92"/>
      <c r="B514" s="20" t="s">
        <v>25</v>
      </c>
      <c r="C514" s="21">
        <v>0.46198830409356723</v>
      </c>
      <c r="D514" s="20">
        <v>0.195906432748538</v>
      </c>
      <c r="E514" s="21">
        <v>1.1695906432748541E-2</v>
      </c>
      <c r="F514" s="20">
        <v>0.33040935672514621</v>
      </c>
      <c r="G514" s="21">
        <v>158</v>
      </c>
      <c r="H514" s="20">
        <v>67</v>
      </c>
      <c r="I514" s="21">
        <v>4</v>
      </c>
      <c r="J514" s="20">
        <v>113</v>
      </c>
      <c r="K514" s="38">
        <v>342</v>
      </c>
      <c r="L514" s="77"/>
      <c r="M514" s="86"/>
      <c r="N514" s="22">
        <v>0.907293081283569</v>
      </c>
    </row>
    <row r="515" spans="1:14" x14ac:dyDescent="0.35">
      <c r="A515" s="92"/>
      <c r="B515" s="20" t="s">
        <v>63</v>
      </c>
      <c r="C515" s="21">
        <v>0.76694915254237284</v>
      </c>
      <c r="D515" s="20">
        <v>0.21610169491525419</v>
      </c>
      <c r="E515" s="21">
        <v>1.6949152542372881E-2</v>
      </c>
      <c r="F515" s="20">
        <v>0</v>
      </c>
      <c r="G515" s="21">
        <v>181</v>
      </c>
      <c r="H515" s="20">
        <v>51</v>
      </c>
      <c r="I515" s="21">
        <v>4</v>
      </c>
      <c r="J515" s="20">
        <v>0</v>
      </c>
      <c r="K515" s="38">
        <v>236</v>
      </c>
      <c r="L515" s="77"/>
      <c r="M515" s="86"/>
      <c r="N515" s="22">
        <v>0.616413354873657</v>
      </c>
    </row>
    <row r="516" spans="1:14" x14ac:dyDescent="0.35">
      <c r="A516" s="92"/>
      <c r="B516" s="20" t="s">
        <v>380</v>
      </c>
      <c r="C516" s="21">
        <v>0.73164556962025318</v>
      </c>
      <c r="D516" s="20">
        <v>0.1822784810126582</v>
      </c>
      <c r="E516" s="21">
        <v>3.037974683544304E-2</v>
      </c>
      <c r="F516" s="20">
        <v>5.5696202531645568E-2</v>
      </c>
      <c r="G516" s="21">
        <v>289</v>
      </c>
      <c r="H516" s="20">
        <v>72</v>
      </c>
      <c r="I516" s="21">
        <v>12</v>
      </c>
      <c r="J516" s="20">
        <v>22</v>
      </c>
      <c r="K516" s="38">
        <v>395</v>
      </c>
      <c r="L516" s="77"/>
      <c r="M516" s="86"/>
      <c r="N516" s="22">
        <v>0.91360324621200595</v>
      </c>
    </row>
    <row r="517" spans="1:14" x14ac:dyDescent="0.35">
      <c r="A517" s="92"/>
      <c r="B517" s="20" t="s">
        <v>11</v>
      </c>
      <c r="C517" s="21">
        <v>0.7742504409171076</v>
      </c>
      <c r="D517" s="20">
        <v>0.17813051146384479</v>
      </c>
      <c r="E517" s="21">
        <v>2.292768959435626E-2</v>
      </c>
      <c r="F517" s="20">
        <v>2.469135802469136E-2</v>
      </c>
      <c r="G517" s="21">
        <v>439</v>
      </c>
      <c r="H517" s="20">
        <v>101</v>
      </c>
      <c r="I517" s="21">
        <v>13</v>
      </c>
      <c r="J517" s="20">
        <v>14</v>
      </c>
      <c r="K517" s="38">
        <v>567</v>
      </c>
      <c r="L517" s="77"/>
      <c r="M517" s="86"/>
      <c r="N517" s="22">
        <v>0.74741476774215698</v>
      </c>
    </row>
    <row r="518" spans="1:14" x14ac:dyDescent="0.35">
      <c r="A518" s="92"/>
      <c r="B518" s="20" t="s">
        <v>21</v>
      </c>
      <c r="C518" s="21">
        <v>0.45723684210526322</v>
      </c>
      <c r="D518" s="20">
        <v>0.51809210526315785</v>
      </c>
      <c r="E518" s="21">
        <v>1.151315789473684E-2</v>
      </c>
      <c r="F518" s="20">
        <v>1.3157894736842099E-2</v>
      </c>
      <c r="G518" s="21">
        <v>278</v>
      </c>
      <c r="H518" s="20">
        <v>315</v>
      </c>
      <c r="I518" s="21">
        <v>7</v>
      </c>
      <c r="J518" s="20">
        <v>8</v>
      </c>
      <c r="K518" s="38">
        <v>608</v>
      </c>
      <c r="L518" s="77"/>
      <c r="M518" s="86"/>
      <c r="N518" s="22">
        <v>0.91031193733215299</v>
      </c>
    </row>
    <row r="519" spans="1:14" ht="16" thickBot="1" x14ac:dyDescent="0.4">
      <c r="A519" s="93"/>
      <c r="B519" s="26" t="s">
        <v>381</v>
      </c>
      <c r="C519" s="27">
        <v>0.625</v>
      </c>
      <c r="D519" s="26">
        <v>0.26488095238095238</v>
      </c>
      <c r="E519" s="27">
        <v>9.2261904761904767E-2</v>
      </c>
      <c r="F519" s="26">
        <v>1.785714285714286E-2</v>
      </c>
      <c r="G519" s="27">
        <v>210</v>
      </c>
      <c r="H519" s="26">
        <v>89</v>
      </c>
      <c r="I519" s="27">
        <v>31</v>
      </c>
      <c r="J519" s="26">
        <v>6</v>
      </c>
      <c r="K519" s="39">
        <v>336</v>
      </c>
      <c r="L519" s="78"/>
      <c r="M519" s="87"/>
      <c r="N519" s="28">
        <v>0.725635826587677</v>
      </c>
    </row>
    <row r="520" spans="1:14" x14ac:dyDescent="0.35">
      <c r="A520" s="88" t="s">
        <v>455</v>
      </c>
      <c r="B520" s="8" t="s">
        <v>29</v>
      </c>
      <c r="C520" s="9">
        <v>0.25626204238921002</v>
      </c>
      <c r="D520" s="8">
        <v>0.4913294797687861</v>
      </c>
      <c r="E520" s="9">
        <v>0.19075144508670519</v>
      </c>
      <c r="F520" s="8">
        <v>6.1657032755298651E-2</v>
      </c>
      <c r="G520" s="9">
        <v>133</v>
      </c>
      <c r="H520" s="8">
        <v>255</v>
      </c>
      <c r="I520" s="9">
        <v>99</v>
      </c>
      <c r="J520" s="8">
        <v>32</v>
      </c>
      <c r="K520" s="34">
        <v>519</v>
      </c>
      <c r="L520" s="79" t="s">
        <v>36</v>
      </c>
      <c r="M520" s="82">
        <v>0.79688912630081199</v>
      </c>
      <c r="N520" s="10">
        <v>-0.85693305730819702</v>
      </c>
    </row>
    <row r="521" spans="1:14" x14ac:dyDescent="0.35">
      <c r="A521" s="89"/>
      <c r="B521" s="11" t="s">
        <v>25</v>
      </c>
      <c r="C521" s="12">
        <v>0.26608187134502931</v>
      </c>
      <c r="D521" s="11">
        <v>0.5935672514619883</v>
      </c>
      <c r="E521" s="12">
        <v>0.108187134502924</v>
      </c>
      <c r="F521" s="11">
        <v>3.2163742690058478E-2</v>
      </c>
      <c r="G521" s="12">
        <v>91</v>
      </c>
      <c r="H521" s="11">
        <v>203</v>
      </c>
      <c r="I521" s="12">
        <v>37</v>
      </c>
      <c r="J521" s="11">
        <v>11</v>
      </c>
      <c r="K521" s="35">
        <v>342</v>
      </c>
      <c r="L521" s="80"/>
      <c r="M521" s="83"/>
      <c r="N521" s="13">
        <v>-0.95302081108093295</v>
      </c>
    </row>
    <row r="522" spans="1:14" x14ac:dyDescent="0.35">
      <c r="A522" s="89"/>
      <c r="B522" s="11" t="s">
        <v>63</v>
      </c>
      <c r="C522" s="12">
        <v>0.19067796610169491</v>
      </c>
      <c r="D522" s="11">
        <v>0.58050847457627119</v>
      </c>
      <c r="E522" s="12">
        <v>0.17796610169491531</v>
      </c>
      <c r="F522" s="11">
        <v>5.0847457627118647E-2</v>
      </c>
      <c r="G522" s="12">
        <v>45</v>
      </c>
      <c r="H522" s="11">
        <v>137</v>
      </c>
      <c r="I522" s="12">
        <v>42</v>
      </c>
      <c r="J522" s="11">
        <v>12</v>
      </c>
      <c r="K522" s="35">
        <v>236</v>
      </c>
      <c r="L522" s="80"/>
      <c r="M522" s="83"/>
      <c r="N522" s="13">
        <v>-0.85025101900100697</v>
      </c>
    </row>
    <row r="523" spans="1:14" x14ac:dyDescent="0.35">
      <c r="A523" s="89"/>
      <c r="B523" s="11" t="s">
        <v>380</v>
      </c>
      <c r="C523" s="12">
        <v>0.26329113924050629</v>
      </c>
      <c r="D523" s="11">
        <v>0.53417721518987338</v>
      </c>
      <c r="E523" s="12">
        <v>0.16962025316455701</v>
      </c>
      <c r="F523" s="11">
        <v>3.2911392405063293E-2</v>
      </c>
      <c r="G523" s="12">
        <v>104</v>
      </c>
      <c r="H523" s="11">
        <v>211</v>
      </c>
      <c r="I523" s="12">
        <v>67</v>
      </c>
      <c r="J523" s="11">
        <v>13</v>
      </c>
      <c r="K523" s="35">
        <v>395</v>
      </c>
      <c r="L523" s="80"/>
      <c r="M523" s="83"/>
      <c r="N523" s="13">
        <v>-0.88144773244857799</v>
      </c>
    </row>
    <row r="524" spans="1:14" x14ac:dyDescent="0.35">
      <c r="A524" s="89"/>
      <c r="B524" s="11" t="s">
        <v>11</v>
      </c>
      <c r="C524" s="12">
        <v>0.29805996472663138</v>
      </c>
      <c r="D524" s="11">
        <v>0.50440917107583771</v>
      </c>
      <c r="E524" s="12">
        <v>0.1710758377425044</v>
      </c>
      <c r="F524" s="11">
        <v>2.645502645502645E-2</v>
      </c>
      <c r="G524" s="12">
        <v>169</v>
      </c>
      <c r="H524" s="11">
        <v>286</v>
      </c>
      <c r="I524" s="12">
        <v>97</v>
      </c>
      <c r="J524" s="11">
        <v>15</v>
      </c>
      <c r="K524" s="35">
        <v>567</v>
      </c>
      <c r="L524" s="80"/>
      <c r="M524" s="83"/>
      <c r="N524" s="13">
        <v>-0.36542752385139499</v>
      </c>
    </row>
    <row r="525" spans="1:14" x14ac:dyDescent="0.35">
      <c r="A525" s="89"/>
      <c r="B525" s="11" t="s">
        <v>21</v>
      </c>
      <c r="C525" s="12">
        <v>0.50986842105263153</v>
      </c>
      <c r="D525" s="11">
        <v>0.33881578947368418</v>
      </c>
      <c r="E525" s="12">
        <v>0.13157894736842099</v>
      </c>
      <c r="F525" s="11">
        <v>1.973684210526316E-2</v>
      </c>
      <c r="G525" s="12">
        <v>310</v>
      </c>
      <c r="H525" s="11">
        <v>206</v>
      </c>
      <c r="I525" s="12">
        <v>80</v>
      </c>
      <c r="J525" s="11">
        <v>12</v>
      </c>
      <c r="K525" s="35">
        <v>608</v>
      </c>
      <c r="L525" s="80"/>
      <c r="M525" s="83"/>
      <c r="N525" s="13">
        <v>-0.83002060651779197</v>
      </c>
    </row>
    <row r="526" spans="1:14" ht="16" thickBot="1" x14ac:dyDescent="0.4">
      <c r="A526" s="90"/>
      <c r="B526" s="14" t="s">
        <v>381</v>
      </c>
      <c r="C526" s="15">
        <v>0.25297619047619052</v>
      </c>
      <c r="D526" s="14">
        <v>0.45535714285714279</v>
      </c>
      <c r="E526" s="15">
        <v>0.2232142857142857</v>
      </c>
      <c r="F526" s="14">
        <v>6.8452380952380959E-2</v>
      </c>
      <c r="G526" s="15">
        <v>85</v>
      </c>
      <c r="H526" s="14">
        <v>153</v>
      </c>
      <c r="I526" s="15">
        <v>75</v>
      </c>
      <c r="J526" s="14">
        <v>23</v>
      </c>
      <c r="K526" s="36">
        <v>336</v>
      </c>
      <c r="L526" s="81"/>
      <c r="M526" s="84"/>
      <c r="N526" s="16">
        <v>-0.68054634332656905</v>
      </c>
    </row>
    <row r="527" spans="1:14" x14ac:dyDescent="0.35">
      <c r="A527" s="91" t="s">
        <v>456</v>
      </c>
      <c r="B527" s="17" t="s">
        <v>29</v>
      </c>
      <c r="C527" s="18">
        <v>0.35645472061657041</v>
      </c>
      <c r="D527" s="17">
        <v>0.30635838150289019</v>
      </c>
      <c r="E527" s="18">
        <v>0.30828516377649318</v>
      </c>
      <c r="F527" s="17">
        <v>2.8901734104046239E-2</v>
      </c>
      <c r="G527" s="18">
        <v>185</v>
      </c>
      <c r="H527" s="17">
        <v>159</v>
      </c>
      <c r="I527" s="18">
        <v>160</v>
      </c>
      <c r="J527" s="17">
        <v>15</v>
      </c>
      <c r="K527" s="37">
        <v>519</v>
      </c>
      <c r="L527" s="76" t="s">
        <v>36</v>
      </c>
      <c r="M527" s="85">
        <v>0.46634590625762901</v>
      </c>
      <c r="N527" s="19">
        <v>-0.54658782482147195</v>
      </c>
    </row>
    <row r="528" spans="1:14" x14ac:dyDescent="0.35">
      <c r="A528" s="92"/>
      <c r="B528" s="20" t="s">
        <v>25</v>
      </c>
      <c r="C528" s="21">
        <v>0.31578947368421051</v>
      </c>
      <c r="D528" s="20">
        <v>0.35380116959064328</v>
      </c>
      <c r="E528" s="21">
        <v>0.31578947368421051</v>
      </c>
      <c r="F528" s="20">
        <v>1.461988304093567E-2</v>
      </c>
      <c r="G528" s="21">
        <v>108</v>
      </c>
      <c r="H528" s="20">
        <v>121</v>
      </c>
      <c r="I528" s="21">
        <v>108</v>
      </c>
      <c r="J528" s="20">
        <v>5</v>
      </c>
      <c r="K528" s="38">
        <v>342</v>
      </c>
      <c r="L528" s="77"/>
      <c r="M528" s="86"/>
      <c r="N528" s="22">
        <v>-0.36867710947990401</v>
      </c>
    </row>
    <row r="529" spans="1:14" x14ac:dyDescent="0.35">
      <c r="A529" s="92"/>
      <c r="B529" s="20" t="s">
        <v>63</v>
      </c>
      <c r="C529" s="21">
        <v>0.24576271186440679</v>
      </c>
      <c r="D529" s="20">
        <v>0.44915254237288138</v>
      </c>
      <c r="E529" s="21">
        <v>0.2923728813559322</v>
      </c>
      <c r="F529" s="20">
        <v>1.271186440677966E-2</v>
      </c>
      <c r="G529" s="21">
        <v>58</v>
      </c>
      <c r="H529" s="20">
        <v>106</v>
      </c>
      <c r="I529" s="21">
        <v>69</v>
      </c>
      <c r="J529" s="20">
        <v>3</v>
      </c>
      <c r="K529" s="38">
        <v>236</v>
      </c>
      <c r="L529" s="77"/>
      <c r="M529" s="86"/>
      <c r="N529" s="22">
        <v>-0.69569844007492099</v>
      </c>
    </row>
    <row r="530" spans="1:14" x14ac:dyDescent="0.35">
      <c r="A530" s="92"/>
      <c r="B530" s="20" t="s">
        <v>380</v>
      </c>
      <c r="C530" s="21">
        <v>0.38227848101265821</v>
      </c>
      <c r="D530" s="20">
        <v>0.39493670886075949</v>
      </c>
      <c r="E530" s="21">
        <v>0.2227848101265823</v>
      </c>
      <c r="F530" s="20">
        <v>0</v>
      </c>
      <c r="G530" s="21">
        <v>151</v>
      </c>
      <c r="H530" s="20">
        <v>156</v>
      </c>
      <c r="I530" s="21">
        <v>88</v>
      </c>
      <c r="J530" s="20">
        <v>0</v>
      </c>
      <c r="K530" s="38">
        <v>395</v>
      </c>
      <c r="L530" s="77"/>
      <c r="M530" s="86"/>
      <c r="N530" s="22">
        <v>-0.50763624906539895</v>
      </c>
    </row>
    <row r="531" spans="1:14" x14ac:dyDescent="0.35">
      <c r="A531" s="92"/>
      <c r="B531" s="20" t="s">
        <v>11</v>
      </c>
      <c r="C531" s="21">
        <v>0.35626102292768957</v>
      </c>
      <c r="D531" s="20">
        <v>0.40740740740740738</v>
      </c>
      <c r="E531" s="21">
        <v>0.23104056437389769</v>
      </c>
      <c r="F531" s="20">
        <v>5.2910052910052907E-3</v>
      </c>
      <c r="G531" s="21">
        <v>202</v>
      </c>
      <c r="H531" s="20">
        <v>231</v>
      </c>
      <c r="I531" s="21">
        <v>131</v>
      </c>
      <c r="J531" s="20">
        <v>3</v>
      </c>
      <c r="K531" s="38">
        <v>567</v>
      </c>
      <c r="L531" s="77"/>
      <c r="M531" s="86"/>
      <c r="N531" s="22">
        <v>-0.23120072484016399</v>
      </c>
    </row>
    <row r="532" spans="1:14" x14ac:dyDescent="0.35">
      <c r="A532" s="92"/>
      <c r="B532" s="20" t="s">
        <v>21</v>
      </c>
      <c r="C532" s="21">
        <v>0.51644736842105265</v>
      </c>
      <c r="D532" s="20">
        <v>0.26480263157894729</v>
      </c>
      <c r="E532" s="21">
        <v>0.2023026315789474</v>
      </c>
      <c r="F532" s="20">
        <v>1.6447368421052631E-2</v>
      </c>
      <c r="G532" s="21">
        <v>314</v>
      </c>
      <c r="H532" s="20">
        <v>161</v>
      </c>
      <c r="I532" s="21">
        <v>123</v>
      </c>
      <c r="J532" s="20">
        <v>10</v>
      </c>
      <c r="K532" s="38">
        <v>608</v>
      </c>
      <c r="L532" s="77"/>
      <c r="M532" s="86"/>
      <c r="N532" s="22">
        <v>-0.42368093132972701</v>
      </c>
    </row>
    <row r="533" spans="1:14" ht="16" thickBot="1" x14ac:dyDescent="0.4">
      <c r="A533" s="93"/>
      <c r="B533" s="26" t="s">
        <v>381</v>
      </c>
      <c r="C533" s="27">
        <v>0.28869047619047622</v>
      </c>
      <c r="D533" s="26">
        <v>0.38392857142857151</v>
      </c>
      <c r="E533" s="27">
        <v>0.3125</v>
      </c>
      <c r="F533" s="26">
        <v>1.488095238095238E-2</v>
      </c>
      <c r="G533" s="27">
        <v>97</v>
      </c>
      <c r="H533" s="26">
        <v>129</v>
      </c>
      <c r="I533" s="27">
        <v>105</v>
      </c>
      <c r="J533" s="26">
        <v>5</v>
      </c>
      <c r="K533" s="39">
        <v>336</v>
      </c>
      <c r="L533" s="78"/>
      <c r="M533" s="87"/>
      <c r="N533" s="28">
        <v>-0.66922521591186501</v>
      </c>
    </row>
    <row r="534" spans="1:14" x14ac:dyDescent="0.35">
      <c r="A534" s="88" t="s">
        <v>457</v>
      </c>
      <c r="B534" s="8" t="s">
        <v>29</v>
      </c>
      <c r="C534" s="9">
        <v>0.47398843930635842</v>
      </c>
      <c r="D534" s="8">
        <v>0.43930635838150289</v>
      </c>
      <c r="E534" s="9">
        <v>3.6608863198458567E-2</v>
      </c>
      <c r="F534" s="8">
        <v>5.0096339113680152E-2</v>
      </c>
      <c r="G534" s="9">
        <v>246</v>
      </c>
      <c r="H534" s="8">
        <v>228</v>
      </c>
      <c r="I534" s="9">
        <v>19</v>
      </c>
      <c r="J534" s="8">
        <v>26</v>
      </c>
      <c r="K534" s="34">
        <v>519</v>
      </c>
      <c r="L534" s="79" t="s">
        <v>19</v>
      </c>
      <c r="M534" s="82">
        <v>-0.39557483792304998</v>
      </c>
      <c r="N534" s="10">
        <v>0.398878574371338</v>
      </c>
    </row>
    <row r="535" spans="1:14" x14ac:dyDescent="0.35">
      <c r="A535" s="89"/>
      <c r="B535" s="11" t="s">
        <v>25</v>
      </c>
      <c r="C535" s="12">
        <v>0.38011695906432752</v>
      </c>
      <c r="D535" s="11">
        <v>0.46198830409356723</v>
      </c>
      <c r="E535" s="12">
        <v>0.13450292397660821</v>
      </c>
      <c r="F535" s="11">
        <v>2.3391812865497071E-2</v>
      </c>
      <c r="G535" s="12">
        <v>130</v>
      </c>
      <c r="H535" s="11">
        <v>158</v>
      </c>
      <c r="I535" s="12">
        <v>46</v>
      </c>
      <c r="J535" s="11">
        <v>8</v>
      </c>
      <c r="K535" s="35">
        <v>342</v>
      </c>
      <c r="L535" s="80"/>
      <c r="M535" s="83"/>
      <c r="N535" s="13">
        <v>0.27369523048400901</v>
      </c>
    </row>
    <row r="536" spans="1:14" x14ac:dyDescent="0.35">
      <c r="A536" s="89"/>
      <c r="B536" s="11" t="s">
        <v>63</v>
      </c>
      <c r="C536" s="12">
        <v>0.3347457627118644</v>
      </c>
      <c r="D536" s="11">
        <v>0.42372881355932202</v>
      </c>
      <c r="E536" s="12">
        <v>0.20338983050847459</v>
      </c>
      <c r="F536" s="11">
        <v>3.8135593220338992E-2</v>
      </c>
      <c r="G536" s="12">
        <v>79</v>
      </c>
      <c r="H536" s="11">
        <v>100</v>
      </c>
      <c r="I536" s="12">
        <v>48</v>
      </c>
      <c r="J536" s="11">
        <v>9</v>
      </c>
      <c r="K536" s="35">
        <v>236</v>
      </c>
      <c r="L536" s="80"/>
      <c r="M536" s="83"/>
      <c r="N536" s="13">
        <v>-0.125514641404152</v>
      </c>
    </row>
    <row r="537" spans="1:14" x14ac:dyDescent="0.35">
      <c r="A537" s="89"/>
      <c r="B537" s="11" t="s">
        <v>380</v>
      </c>
      <c r="C537" s="12">
        <v>0.67088607594936711</v>
      </c>
      <c r="D537" s="11">
        <v>0.2481012658227848</v>
      </c>
      <c r="E537" s="12">
        <v>6.5822784810126586E-2</v>
      </c>
      <c r="F537" s="11">
        <v>1.518987341772152E-2</v>
      </c>
      <c r="G537" s="12">
        <v>265</v>
      </c>
      <c r="H537" s="11">
        <v>98</v>
      </c>
      <c r="I537" s="12">
        <v>26</v>
      </c>
      <c r="J537" s="11">
        <v>6</v>
      </c>
      <c r="K537" s="35">
        <v>395</v>
      </c>
      <c r="L537" s="80"/>
      <c r="M537" s="83"/>
      <c r="N537" s="13">
        <v>0.40874943137168901</v>
      </c>
    </row>
    <row r="538" spans="1:14" x14ac:dyDescent="0.35">
      <c r="A538" s="89"/>
      <c r="B538" s="11" t="s">
        <v>11</v>
      </c>
      <c r="C538" s="12">
        <v>0.50970017636684306</v>
      </c>
      <c r="D538" s="11">
        <v>0.34567901234567899</v>
      </c>
      <c r="E538" s="12">
        <v>0.1305114638447972</v>
      </c>
      <c r="F538" s="11">
        <v>1.410934744268078E-2</v>
      </c>
      <c r="G538" s="12">
        <v>289</v>
      </c>
      <c r="H538" s="11">
        <v>196</v>
      </c>
      <c r="I538" s="12">
        <v>74</v>
      </c>
      <c r="J538" s="11">
        <v>8</v>
      </c>
      <c r="K538" s="35">
        <v>567</v>
      </c>
      <c r="L538" s="80"/>
      <c r="M538" s="83"/>
      <c r="N538" s="13">
        <v>0.32861793041229198</v>
      </c>
    </row>
    <row r="539" spans="1:14" x14ac:dyDescent="0.35">
      <c r="A539" s="89"/>
      <c r="B539" s="11" t="s">
        <v>21</v>
      </c>
      <c r="C539" s="12">
        <v>0.32072368421052633</v>
      </c>
      <c r="D539" s="11">
        <v>0.55427631578947367</v>
      </c>
      <c r="E539" s="12">
        <v>8.5526315789473686E-2</v>
      </c>
      <c r="F539" s="11">
        <v>3.9473684210526307E-2</v>
      </c>
      <c r="G539" s="12">
        <v>195</v>
      </c>
      <c r="H539" s="11">
        <v>337</v>
      </c>
      <c r="I539" s="12">
        <v>52</v>
      </c>
      <c r="J539" s="11">
        <v>24</v>
      </c>
      <c r="K539" s="35">
        <v>608</v>
      </c>
      <c r="L539" s="80"/>
      <c r="M539" s="83"/>
      <c r="N539" s="13">
        <v>0.53482812643051103</v>
      </c>
    </row>
    <row r="540" spans="1:14" ht="16" thickBot="1" x14ac:dyDescent="0.4">
      <c r="A540" s="90"/>
      <c r="B540" s="14" t="s">
        <v>381</v>
      </c>
      <c r="C540" s="15">
        <v>0.4017857142857143</v>
      </c>
      <c r="D540" s="14">
        <v>0.35119047619047622</v>
      </c>
      <c r="E540" s="15">
        <v>0.22916666666666671</v>
      </c>
      <c r="F540" s="14">
        <v>1.785714285714286E-2</v>
      </c>
      <c r="G540" s="15">
        <v>135</v>
      </c>
      <c r="H540" s="14">
        <v>118</v>
      </c>
      <c r="I540" s="15">
        <v>77</v>
      </c>
      <c r="J540" s="14">
        <v>6</v>
      </c>
      <c r="K540" s="36">
        <v>336</v>
      </c>
      <c r="L540" s="81"/>
      <c r="M540" s="84"/>
      <c r="N540" s="16">
        <v>0.24492530524730699</v>
      </c>
    </row>
    <row r="541" spans="1:14" x14ac:dyDescent="0.35">
      <c r="A541" s="91" t="s">
        <v>458</v>
      </c>
      <c r="B541" s="17" t="s">
        <v>29</v>
      </c>
      <c r="C541" s="18">
        <v>0.53757225433526012</v>
      </c>
      <c r="D541" s="17">
        <v>0.2832369942196532</v>
      </c>
      <c r="E541" s="18">
        <v>1.15606936416185E-2</v>
      </c>
      <c r="F541" s="17">
        <v>0.16763005780346821</v>
      </c>
      <c r="G541" s="18">
        <v>279</v>
      </c>
      <c r="H541" s="17">
        <v>147</v>
      </c>
      <c r="I541" s="18">
        <v>6</v>
      </c>
      <c r="J541" s="17">
        <v>87</v>
      </c>
      <c r="K541" s="37">
        <v>519</v>
      </c>
      <c r="L541" s="76" t="s">
        <v>67</v>
      </c>
      <c r="M541" s="85">
        <v>-0.87345445156097401</v>
      </c>
      <c r="N541" s="19">
        <v>0.89036321640014604</v>
      </c>
    </row>
    <row r="542" spans="1:14" x14ac:dyDescent="0.35">
      <c r="A542" s="92"/>
      <c r="B542" s="20" t="s">
        <v>25</v>
      </c>
      <c r="C542" s="21">
        <v>0.64619883040935677</v>
      </c>
      <c r="D542" s="20">
        <v>0.27192982456140352</v>
      </c>
      <c r="E542" s="21">
        <v>3.8011695906432753E-2</v>
      </c>
      <c r="F542" s="20">
        <v>4.3859649122807022E-2</v>
      </c>
      <c r="G542" s="21">
        <v>221</v>
      </c>
      <c r="H542" s="20">
        <v>93</v>
      </c>
      <c r="I542" s="21">
        <v>13</v>
      </c>
      <c r="J542" s="20">
        <v>15</v>
      </c>
      <c r="K542" s="38">
        <v>342</v>
      </c>
      <c r="L542" s="77"/>
      <c r="M542" s="86"/>
      <c r="N542" s="22">
        <v>0.79609781503677401</v>
      </c>
    </row>
    <row r="543" spans="1:14" x14ac:dyDescent="0.35">
      <c r="A543" s="92"/>
      <c r="B543" s="20" t="s">
        <v>63</v>
      </c>
      <c r="C543" s="21">
        <v>0.75847457627118642</v>
      </c>
      <c r="D543" s="20">
        <v>0.17372881355932199</v>
      </c>
      <c r="E543" s="21">
        <v>3.3898305084745763E-2</v>
      </c>
      <c r="F543" s="20">
        <v>3.3898305084745763E-2</v>
      </c>
      <c r="G543" s="21">
        <v>179</v>
      </c>
      <c r="H543" s="20">
        <v>41</v>
      </c>
      <c r="I543" s="21">
        <v>8</v>
      </c>
      <c r="J543" s="20">
        <v>8</v>
      </c>
      <c r="K543" s="38">
        <v>236</v>
      </c>
      <c r="L543" s="77"/>
      <c r="M543" s="86"/>
      <c r="N543" s="22">
        <v>0.49468415975570701</v>
      </c>
    </row>
    <row r="544" spans="1:14" x14ac:dyDescent="0.35">
      <c r="A544" s="92"/>
      <c r="B544" s="20" t="s">
        <v>380</v>
      </c>
      <c r="C544" s="21">
        <v>0.78227848101265818</v>
      </c>
      <c r="D544" s="20">
        <v>0.1822784810126582</v>
      </c>
      <c r="E544" s="21">
        <v>1.0126582278481009E-2</v>
      </c>
      <c r="F544" s="20">
        <v>2.5316455696202531E-2</v>
      </c>
      <c r="G544" s="21">
        <v>309</v>
      </c>
      <c r="H544" s="20">
        <v>72</v>
      </c>
      <c r="I544" s="21">
        <v>4</v>
      </c>
      <c r="J544" s="20">
        <v>10</v>
      </c>
      <c r="K544" s="38">
        <v>395</v>
      </c>
      <c r="L544" s="77"/>
      <c r="M544" s="86"/>
      <c r="N544" s="22">
        <v>0.890311539173126</v>
      </c>
    </row>
    <row r="545" spans="1:14" x14ac:dyDescent="0.35">
      <c r="A545" s="92"/>
      <c r="B545" s="20" t="s">
        <v>11</v>
      </c>
      <c r="C545" s="21">
        <v>0.78306878306878303</v>
      </c>
      <c r="D545" s="20">
        <v>0.14462081128747789</v>
      </c>
      <c r="E545" s="21">
        <v>6.1728395061728392E-2</v>
      </c>
      <c r="F545" s="20">
        <v>1.058201058201058E-2</v>
      </c>
      <c r="G545" s="21">
        <v>444</v>
      </c>
      <c r="H545" s="20">
        <v>82</v>
      </c>
      <c r="I545" s="21">
        <v>35</v>
      </c>
      <c r="J545" s="20">
        <v>6</v>
      </c>
      <c r="K545" s="38">
        <v>567</v>
      </c>
      <c r="L545" s="77"/>
      <c r="M545" s="86"/>
      <c r="N545" s="22">
        <v>0.69839853048324596</v>
      </c>
    </row>
    <row r="546" spans="1:14" x14ac:dyDescent="0.35">
      <c r="A546" s="92"/>
      <c r="B546" s="20" t="s">
        <v>21</v>
      </c>
      <c r="C546" s="21">
        <v>0.45888157894736842</v>
      </c>
      <c r="D546" s="20">
        <v>0.34375</v>
      </c>
      <c r="E546" s="21">
        <v>3.9473684210526307E-2</v>
      </c>
      <c r="F546" s="20">
        <v>0.15789473684210531</v>
      </c>
      <c r="G546" s="21">
        <v>279</v>
      </c>
      <c r="H546" s="20">
        <v>209</v>
      </c>
      <c r="I546" s="21">
        <v>24</v>
      </c>
      <c r="J546" s="20">
        <v>96</v>
      </c>
      <c r="K546" s="38">
        <v>608</v>
      </c>
      <c r="L546" s="77"/>
      <c r="M546" s="86"/>
      <c r="N546" s="22">
        <v>0.819718897342682</v>
      </c>
    </row>
    <row r="547" spans="1:14" ht="16" thickBot="1" x14ac:dyDescent="0.4">
      <c r="A547" s="93"/>
      <c r="B547" s="26" t="s">
        <v>381</v>
      </c>
      <c r="C547" s="27">
        <v>0.67261904761904767</v>
      </c>
      <c r="D547" s="26">
        <v>0.21726190476190479</v>
      </c>
      <c r="E547" s="27">
        <v>7.4404761904761904E-2</v>
      </c>
      <c r="F547" s="26">
        <v>3.5714285714285712E-2</v>
      </c>
      <c r="G547" s="27">
        <v>226</v>
      </c>
      <c r="H547" s="26">
        <v>73</v>
      </c>
      <c r="I547" s="27">
        <v>25</v>
      </c>
      <c r="J547" s="26">
        <v>12</v>
      </c>
      <c r="K547" s="39">
        <v>336</v>
      </c>
      <c r="L547" s="78"/>
      <c r="M547" s="87"/>
      <c r="N547" s="28">
        <v>0.80158346891403198</v>
      </c>
    </row>
    <row r="548" spans="1:14" x14ac:dyDescent="0.35">
      <c r="A548" s="88" t="s">
        <v>459</v>
      </c>
      <c r="B548" s="8" t="s">
        <v>29</v>
      </c>
      <c r="C548" s="9">
        <v>0.35067437379576111</v>
      </c>
      <c r="D548" s="8">
        <v>0.28516377649325619</v>
      </c>
      <c r="E548" s="9">
        <v>0.32755298651252412</v>
      </c>
      <c r="F548" s="8">
        <v>3.6608863198458567E-2</v>
      </c>
      <c r="G548" s="9">
        <v>182</v>
      </c>
      <c r="H548" s="8">
        <v>148</v>
      </c>
      <c r="I548" s="9">
        <v>170</v>
      </c>
      <c r="J548" s="8">
        <v>19</v>
      </c>
      <c r="K548" s="34">
        <v>519</v>
      </c>
      <c r="L548" s="79" t="s">
        <v>36</v>
      </c>
      <c r="M548" s="82">
        <v>0.426649570465088</v>
      </c>
      <c r="N548" s="10">
        <v>-0.52842152118682895</v>
      </c>
    </row>
    <row r="549" spans="1:14" x14ac:dyDescent="0.35">
      <c r="A549" s="89"/>
      <c r="B549" s="11" t="s">
        <v>25</v>
      </c>
      <c r="C549" s="12">
        <v>0.39473684210526322</v>
      </c>
      <c r="D549" s="11">
        <v>0.23684210526315791</v>
      </c>
      <c r="E549" s="12">
        <v>0.35964912280701761</v>
      </c>
      <c r="F549" s="11">
        <v>8.771929824561403E-3</v>
      </c>
      <c r="G549" s="12">
        <v>135</v>
      </c>
      <c r="H549" s="11">
        <v>81</v>
      </c>
      <c r="I549" s="12">
        <v>123</v>
      </c>
      <c r="J549" s="11">
        <v>3</v>
      </c>
      <c r="K549" s="35">
        <v>342</v>
      </c>
      <c r="L549" s="80"/>
      <c r="M549" s="83"/>
      <c r="N549" s="13">
        <v>-0.33608937263488797</v>
      </c>
    </row>
    <row r="550" spans="1:14" x14ac:dyDescent="0.35">
      <c r="A550" s="89"/>
      <c r="B550" s="11" t="s">
        <v>63</v>
      </c>
      <c r="C550" s="12">
        <v>0.2711864406779661</v>
      </c>
      <c r="D550" s="11">
        <v>0.29661016949152541</v>
      </c>
      <c r="E550" s="12">
        <v>0.40254237288135591</v>
      </c>
      <c r="F550" s="11">
        <v>2.966101694915254E-2</v>
      </c>
      <c r="G550" s="12">
        <v>64</v>
      </c>
      <c r="H550" s="11">
        <v>70</v>
      </c>
      <c r="I550" s="12">
        <v>95</v>
      </c>
      <c r="J550" s="11">
        <v>7</v>
      </c>
      <c r="K550" s="35">
        <v>236</v>
      </c>
      <c r="L550" s="80"/>
      <c r="M550" s="83"/>
      <c r="N550" s="13">
        <v>-0.564042627811432</v>
      </c>
    </row>
    <row r="551" spans="1:14" x14ac:dyDescent="0.35">
      <c r="A551" s="89"/>
      <c r="B551" s="11" t="s">
        <v>380</v>
      </c>
      <c r="C551" s="12">
        <v>0.3721518987341772</v>
      </c>
      <c r="D551" s="11">
        <v>0.34177215189873422</v>
      </c>
      <c r="E551" s="12">
        <v>0.27848101265822778</v>
      </c>
      <c r="F551" s="11">
        <v>7.5949367088607592E-3</v>
      </c>
      <c r="G551" s="12">
        <v>147</v>
      </c>
      <c r="H551" s="11">
        <v>135</v>
      </c>
      <c r="I551" s="12">
        <v>110</v>
      </c>
      <c r="J551" s="11">
        <v>3</v>
      </c>
      <c r="K551" s="35">
        <v>395</v>
      </c>
      <c r="L551" s="80"/>
      <c r="M551" s="83"/>
      <c r="N551" s="13">
        <v>-0.45199352502822898</v>
      </c>
    </row>
    <row r="552" spans="1:14" x14ac:dyDescent="0.35">
      <c r="A552" s="89"/>
      <c r="B552" s="11" t="s">
        <v>11</v>
      </c>
      <c r="C552" s="12">
        <v>0.33686067019400351</v>
      </c>
      <c r="D552" s="11">
        <v>0.27160493827160492</v>
      </c>
      <c r="E552" s="12">
        <v>0.28924162257495589</v>
      </c>
      <c r="F552" s="11">
        <v>0.10229276895943561</v>
      </c>
      <c r="G552" s="12">
        <v>191</v>
      </c>
      <c r="H552" s="11">
        <v>154</v>
      </c>
      <c r="I552" s="12">
        <v>164</v>
      </c>
      <c r="J552" s="11">
        <v>58</v>
      </c>
      <c r="K552" s="35">
        <v>567</v>
      </c>
      <c r="L552" s="80"/>
      <c r="M552" s="83"/>
      <c r="N552" s="13">
        <v>-0.18062224984169001</v>
      </c>
    </row>
    <row r="553" spans="1:14" x14ac:dyDescent="0.35">
      <c r="A553" s="89"/>
      <c r="B553" s="11" t="s">
        <v>21</v>
      </c>
      <c r="C553" s="12">
        <v>0.54440789473684215</v>
      </c>
      <c r="D553" s="11">
        <v>0.21546052631578949</v>
      </c>
      <c r="E553" s="12">
        <v>0.22368421052631579</v>
      </c>
      <c r="F553" s="11">
        <v>1.6447368421052631E-2</v>
      </c>
      <c r="G553" s="12">
        <v>331</v>
      </c>
      <c r="H553" s="11">
        <v>131</v>
      </c>
      <c r="I553" s="12">
        <v>136</v>
      </c>
      <c r="J553" s="11">
        <v>10</v>
      </c>
      <c r="K553" s="35">
        <v>608</v>
      </c>
      <c r="L553" s="80"/>
      <c r="M553" s="83"/>
      <c r="N553" s="13">
        <v>-0.46806943416595498</v>
      </c>
    </row>
    <row r="554" spans="1:14" ht="16" thickBot="1" x14ac:dyDescent="0.4">
      <c r="A554" s="90"/>
      <c r="B554" s="14" t="s">
        <v>381</v>
      </c>
      <c r="C554" s="15">
        <v>0.34226190476190482</v>
      </c>
      <c r="D554" s="14">
        <v>0.25297619047619052</v>
      </c>
      <c r="E554" s="15">
        <v>0.375</v>
      </c>
      <c r="F554" s="14">
        <v>2.976190476190476E-2</v>
      </c>
      <c r="G554" s="15">
        <v>115</v>
      </c>
      <c r="H554" s="14">
        <v>85</v>
      </c>
      <c r="I554" s="15">
        <v>126</v>
      </c>
      <c r="J554" s="14">
        <v>10</v>
      </c>
      <c r="K554" s="36">
        <v>336</v>
      </c>
      <c r="L554" s="81"/>
      <c r="M554" s="84"/>
      <c r="N554" s="16">
        <v>-0.453557759523392</v>
      </c>
    </row>
    <row r="555" spans="1:14" x14ac:dyDescent="0.35">
      <c r="A555" s="91" t="s">
        <v>460</v>
      </c>
      <c r="B555" s="17" t="s">
        <v>29</v>
      </c>
      <c r="C555" s="18">
        <v>0.52023121387283233</v>
      </c>
      <c r="D555" s="17">
        <v>0.45857418111753367</v>
      </c>
      <c r="E555" s="18">
        <v>0</v>
      </c>
      <c r="F555" s="17">
        <v>2.119460500963391E-2</v>
      </c>
      <c r="G555" s="18">
        <v>270</v>
      </c>
      <c r="H555" s="17">
        <v>238</v>
      </c>
      <c r="I555" s="18">
        <v>0</v>
      </c>
      <c r="J555" s="17">
        <v>11</v>
      </c>
      <c r="K555" s="37">
        <v>519</v>
      </c>
      <c r="L555" s="76" t="s">
        <v>28</v>
      </c>
      <c r="M555" s="85">
        <v>-0.83313870429992698</v>
      </c>
      <c r="N555" s="19">
        <v>0.59969437122345004</v>
      </c>
    </row>
    <row r="556" spans="1:14" x14ac:dyDescent="0.35">
      <c r="A556" s="92"/>
      <c r="B556" s="20" t="s">
        <v>25</v>
      </c>
      <c r="C556" s="21">
        <v>0.66666666666666663</v>
      </c>
      <c r="D556" s="20">
        <v>0.32163742690058478</v>
      </c>
      <c r="E556" s="21">
        <v>0</v>
      </c>
      <c r="F556" s="20">
        <v>1.1695906432748541E-2</v>
      </c>
      <c r="G556" s="21">
        <v>228</v>
      </c>
      <c r="H556" s="20">
        <v>110</v>
      </c>
      <c r="I556" s="21">
        <v>0</v>
      </c>
      <c r="J556" s="20">
        <v>4</v>
      </c>
      <c r="K556" s="38">
        <v>342</v>
      </c>
      <c r="L556" s="77"/>
      <c r="M556" s="86"/>
      <c r="N556" s="22">
        <v>0.70557218790054299</v>
      </c>
    </row>
    <row r="557" spans="1:14" x14ac:dyDescent="0.35">
      <c r="A557" s="92"/>
      <c r="B557" s="20" t="s">
        <v>63</v>
      </c>
      <c r="C557" s="21">
        <v>0.75847457627118642</v>
      </c>
      <c r="D557" s="20">
        <v>0.21610169491525419</v>
      </c>
      <c r="E557" s="21">
        <v>0</v>
      </c>
      <c r="F557" s="20">
        <v>2.542372881355932E-2</v>
      </c>
      <c r="G557" s="21">
        <v>179</v>
      </c>
      <c r="H557" s="20">
        <v>51</v>
      </c>
      <c r="I557" s="21">
        <v>0</v>
      </c>
      <c r="J557" s="20">
        <v>6</v>
      </c>
      <c r="K557" s="38">
        <v>236</v>
      </c>
      <c r="L557" s="77"/>
      <c r="M557" s="86"/>
      <c r="N557" s="22">
        <v>0.36757570505142201</v>
      </c>
    </row>
    <row r="558" spans="1:14" x14ac:dyDescent="0.35">
      <c r="A558" s="92"/>
      <c r="B558" s="20" t="s">
        <v>380</v>
      </c>
      <c r="C558" s="21">
        <v>0.78987341772151898</v>
      </c>
      <c r="D558" s="20">
        <v>0.20253164556962031</v>
      </c>
      <c r="E558" s="21">
        <v>2.5316455696202532E-3</v>
      </c>
      <c r="F558" s="20">
        <v>5.0632911392405064E-3</v>
      </c>
      <c r="G558" s="21">
        <v>312</v>
      </c>
      <c r="H558" s="20">
        <v>80</v>
      </c>
      <c r="I558" s="21">
        <v>1</v>
      </c>
      <c r="J558" s="20">
        <v>2</v>
      </c>
      <c r="K558" s="38">
        <v>395</v>
      </c>
      <c r="L558" s="77"/>
      <c r="M558" s="86"/>
      <c r="N558" s="22">
        <v>0.74325418472289995</v>
      </c>
    </row>
    <row r="559" spans="1:14" x14ac:dyDescent="0.35">
      <c r="A559" s="92"/>
      <c r="B559" s="20" t="s">
        <v>11</v>
      </c>
      <c r="C559" s="21">
        <v>0.8306878306878307</v>
      </c>
      <c r="D559" s="20">
        <v>0.1569664902998236</v>
      </c>
      <c r="E559" s="21">
        <v>0</v>
      </c>
      <c r="F559" s="20">
        <v>1.234567901234568E-2</v>
      </c>
      <c r="G559" s="21">
        <v>471</v>
      </c>
      <c r="H559" s="20">
        <v>89</v>
      </c>
      <c r="I559" s="21">
        <v>0</v>
      </c>
      <c r="J559" s="20">
        <v>7</v>
      </c>
      <c r="K559" s="38">
        <v>567</v>
      </c>
      <c r="L559" s="77"/>
      <c r="M559" s="86"/>
      <c r="N559" s="22">
        <v>0.865117967128754</v>
      </c>
    </row>
    <row r="560" spans="1:14" x14ac:dyDescent="0.35">
      <c r="A560" s="92"/>
      <c r="B560" s="20" t="s">
        <v>21</v>
      </c>
      <c r="C560" s="21">
        <v>0.40460526315789469</v>
      </c>
      <c r="D560" s="20">
        <v>0.58223684210526316</v>
      </c>
      <c r="E560" s="21">
        <v>0</v>
      </c>
      <c r="F560" s="20">
        <v>1.3157894736842099E-2</v>
      </c>
      <c r="G560" s="21">
        <v>246</v>
      </c>
      <c r="H560" s="20">
        <v>354</v>
      </c>
      <c r="I560" s="21">
        <v>0</v>
      </c>
      <c r="J560" s="20">
        <v>8</v>
      </c>
      <c r="K560" s="38">
        <v>608</v>
      </c>
      <c r="L560" s="77"/>
      <c r="M560" s="86"/>
      <c r="N560" s="22">
        <v>0.93145585060119596</v>
      </c>
    </row>
    <row r="561" spans="1:14" ht="16" thickBot="1" x14ac:dyDescent="0.4">
      <c r="A561" s="93"/>
      <c r="B561" s="26" t="s">
        <v>381</v>
      </c>
      <c r="C561" s="27">
        <v>0.6875</v>
      </c>
      <c r="D561" s="26">
        <v>0.30357142857142849</v>
      </c>
      <c r="E561" s="27">
        <v>0</v>
      </c>
      <c r="F561" s="26">
        <v>8.9285714285714281E-3</v>
      </c>
      <c r="G561" s="27">
        <v>231</v>
      </c>
      <c r="H561" s="26">
        <v>102</v>
      </c>
      <c r="I561" s="27">
        <v>0</v>
      </c>
      <c r="J561" s="26">
        <v>3</v>
      </c>
      <c r="K561" s="39">
        <v>336</v>
      </c>
      <c r="L561" s="78"/>
      <c r="M561" s="87"/>
      <c r="N561" s="28">
        <v>0.65857446193695102</v>
      </c>
    </row>
    <row r="562" spans="1:14" x14ac:dyDescent="0.35">
      <c r="A562" s="88" t="s">
        <v>461</v>
      </c>
      <c r="B562" s="8" t="s">
        <v>29</v>
      </c>
      <c r="C562" s="9">
        <v>0.31984585741811178</v>
      </c>
      <c r="D562" s="8">
        <v>0.46820809248554912</v>
      </c>
      <c r="E562" s="9">
        <v>0.19460500963391139</v>
      </c>
      <c r="F562" s="8">
        <v>1.734104046242774E-2</v>
      </c>
      <c r="G562" s="9">
        <v>166</v>
      </c>
      <c r="H562" s="8">
        <v>243</v>
      </c>
      <c r="I562" s="9">
        <v>101</v>
      </c>
      <c r="J562" s="8">
        <v>9</v>
      </c>
      <c r="K562" s="34">
        <v>519</v>
      </c>
      <c r="L562" s="79" t="s">
        <v>36</v>
      </c>
      <c r="M562" s="82">
        <v>0.88955855369567904</v>
      </c>
      <c r="N562" s="10">
        <v>-0.99111473560333296</v>
      </c>
    </row>
    <row r="563" spans="1:14" x14ac:dyDescent="0.35">
      <c r="A563" s="89"/>
      <c r="B563" s="11" t="s">
        <v>25</v>
      </c>
      <c r="C563" s="12">
        <v>0.27777777777777779</v>
      </c>
      <c r="D563" s="11">
        <v>0.52046783625730997</v>
      </c>
      <c r="E563" s="12">
        <v>0.16081871345029239</v>
      </c>
      <c r="F563" s="11">
        <v>4.0935672514619881E-2</v>
      </c>
      <c r="G563" s="12">
        <v>95</v>
      </c>
      <c r="H563" s="11">
        <v>178</v>
      </c>
      <c r="I563" s="12">
        <v>55</v>
      </c>
      <c r="J563" s="11">
        <v>14</v>
      </c>
      <c r="K563" s="35">
        <v>342</v>
      </c>
      <c r="L563" s="80"/>
      <c r="M563" s="83"/>
      <c r="N563" s="13">
        <v>-0.94437617063522294</v>
      </c>
    </row>
    <row r="564" spans="1:14" x14ac:dyDescent="0.35">
      <c r="A564" s="89"/>
      <c r="B564" s="11" t="s">
        <v>63</v>
      </c>
      <c r="C564" s="12">
        <v>0.19067796610169491</v>
      </c>
      <c r="D564" s="11">
        <v>0.53813559322033899</v>
      </c>
      <c r="E564" s="12">
        <v>0.19491525423728809</v>
      </c>
      <c r="F564" s="11">
        <v>7.6271186440677971E-2</v>
      </c>
      <c r="G564" s="12">
        <v>45</v>
      </c>
      <c r="H564" s="11">
        <v>127</v>
      </c>
      <c r="I564" s="12">
        <v>46</v>
      </c>
      <c r="J564" s="11">
        <v>18</v>
      </c>
      <c r="K564" s="35">
        <v>236</v>
      </c>
      <c r="L564" s="80"/>
      <c r="M564" s="83"/>
      <c r="N564" s="13">
        <v>-0.91939568519592296</v>
      </c>
    </row>
    <row r="565" spans="1:14" x14ac:dyDescent="0.35">
      <c r="A565" s="89"/>
      <c r="B565" s="11" t="s">
        <v>380</v>
      </c>
      <c r="C565" s="12">
        <v>0.26329113924050629</v>
      </c>
      <c r="D565" s="11">
        <v>0.53924050632911391</v>
      </c>
      <c r="E565" s="12">
        <v>0.17974683544303799</v>
      </c>
      <c r="F565" s="11">
        <v>1.7721518987341769E-2</v>
      </c>
      <c r="G565" s="12">
        <v>104</v>
      </c>
      <c r="H565" s="11">
        <v>213</v>
      </c>
      <c r="I565" s="12">
        <v>71</v>
      </c>
      <c r="J565" s="11">
        <v>7</v>
      </c>
      <c r="K565" s="35">
        <v>395</v>
      </c>
      <c r="L565" s="80"/>
      <c r="M565" s="83"/>
      <c r="N565" s="13">
        <v>-0.92446398735046398</v>
      </c>
    </row>
    <row r="566" spans="1:14" x14ac:dyDescent="0.35">
      <c r="A566" s="89"/>
      <c r="B566" s="11" t="s">
        <v>11</v>
      </c>
      <c r="C566" s="12">
        <v>0.29982363315696647</v>
      </c>
      <c r="D566" s="11">
        <v>0.5114638447971781</v>
      </c>
      <c r="E566" s="12">
        <v>0.17989417989417991</v>
      </c>
      <c r="F566" s="11">
        <v>8.8183421516754845E-3</v>
      </c>
      <c r="G566" s="12">
        <v>170</v>
      </c>
      <c r="H566" s="11">
        <v>290</v>
      </c>
      <c r="I566" s="12">
        <v>102</v>
      </c>
      <c r="J566" s="11">
        <v>5</v>
      </c>
      <c r="K566" s="35">
        <v>567</v>
      </c>
      <c r="L566" s="80"/>
      <c r="M566" s="83"/>
      <c r="N566" s="13">
        <v>-0.40428417921066301</v>
      </c>
    </row>
    <row r="567" spans="1:14" x14ac:dyDescent="0.35">
      <c r="A567" s="89"/>
      <c r="B567" s="11" t="s">
        <v>21</v>
      </c>
      <c r="C567" s="12">
        <v>0.5</v>
      </c>
      <c r="D567" s="11">
        <v>0.30098684210526322</v>
      </c>
      <c r="E567" s="12">
        <v>0.14473684210526319</v>
      </c>
      <c r="F567" s="11">
        <v>5.4276315789473693E-2</v>
      </c>
      <c r="G567" s="12">
        <v>304</v>
      </c>
      <c r="H567" s="11">
        <v>183</v>
      </c>
      <c r="I567" s="12">
        <v>88</v>
      </c>
      <c r="J567" s="11">
        <v>33</v>
      </c>
      <c r="K567" s="35">
        <v>608</v>
      </c>
      <c r="L567" s="80"/>
      <c r="M567" s="83"/>
      <c r="N567" s="13">
        <v>-0.94554018974304199</v>
      </c>
    </row>
    <row r="568" spans="1:14" ht="16" thickBot="1" x14ac:dyDescent="0.4">
      <c r="A568" s="90"/>
      <c r="B568" s="14" t="s">
        <v>381</v>
      </c>
      <c r="C568" s="15">
        <v>0.25</v>
      </c>
      <c r="D568" s="14">
        <v>0.50595238095238093</v>
      </c>
      <c r="E568" s="15">
        <v>0.2142857142857143</v>
      </c>
      <c r="F568" s="14">
        <v>2.976190476190476E-2</v>
      </c>
      <c r="G568" s="15">
        <v>84</v>
      </c>
      <c r="H568" s="14">
        <v>170</v>
      </c>
      <c r="I568" s="15">
        <v>72</v>
      </c>
      <c r="J568" s="14">
        <v>10</v>
      </c>
      <c r="K568" s="36">
        <v>336</v>
      </c>
      <c r="L568" s="81"/>
      <c r="M568" s="84"/>
      <c r="N568" s="16">
        <v>-0.85515993833541903</v>
      </c>
    </row>
    <row r="569" spans="1:14" x14ac:dyDescent="0.35">
      <c r="A569" s="91" t="s">
        <v>462</v>
      </c>
      <c r="B569" s="17" t="s">
        <v>29</v>
      </c>
      <c r="C569" s="18">
        <v>0.30635838150289019</v>
      </c>
      <c r="D569" s="17">
        <v>0.31599229287090558</v>
      </c>
      <c r="E569" s="18">
        <v>0.28709055876685929</v>
      </c>
      <c r="F569" s="17">
        <v>9.05587668593449E-2</v>
      </c>
      <c r="G569" s="18">
        <v>159</v>
      </c>
      <c r="H569" s="17">
        <v>164</v>
      </c>
      <c r="I569" s="18">
        <v>149</v>
      </c>
      <c r="J569" s="17">
        <v>47</v>
      </c>
      <c r="K569" s="37">
        <v>519</v>
      </c>
      <c r="L569" s="76" t="s">
        <v>36</v>
      </c>
      <c r="M569" s="85">
        <v>0.57650238275527999</v>
      </c>
      <c r="N569" s="19">
        <v>-0.67248475551605202</v>
      </c>
    </row>
    <row r="570" spans="1:14" x14ac:dyDescent="0.35">
      <c r="A570" s="92"/>
      <c r="B570" s="20" t="s">
        <v>25</v>
      </c>
      <c r="C570" s="21">
        <v>0.34502923976608191</v>
      </c>
      <c r="D570" s="20">
        <v>0.37719298245614041</v>
      </c>
      <c r="E570" s="21">
        <v>0.23391812865497069</v>
      </c>
      <c r="F570" s="20">
        <v>4.3859649122807022E-2</v>
      </c>
      <c r="G570" s="21">
        <v>118</v>
      </c>
      <c r="H570" s="20">
        <v>129</v>
      </c>
      <c r="I570" s="21">
        <v>80</v>
      </c>
      <c r="J570" s="20">
        <v>15</v>
      </c>
      <c r="K570" s="38">
        <v>342</v>
      </c>
      <c r="L570" s="77"/>
      <c r="M570" s="86"/>
      <c r="N570" s="22">
        <v>-0.59210413694381703</v>
      </c>
    </row>
    <row r="571" spans="1:14" x14ac:dyDescent="0.35">
      <c r="A571" s="92"/>
      <c r="B571" s="20" t="s">
        <v>63</v>
      </c>
      <c r="C571" s="21">
        <v>0.22033898305084751</v>
      </c>
      <c r="D571" s="20">
        <v>0.49576271186440679</v>
      </c>
      <c r="E571" s="21">
        <v>0.25847457627118642</v>
      </c>
      <c r="F571" s="20">
        <v>2.542372881355932E-2</v>
      </c>
      <c r="G571" s="21">
        <v>52</v>
      </c>
      <c r="H571" s="20">
        <v>117</v>
      </c>
      <c r="I571" s="21">
        <v>61</v>
      </c>
      <c r="J571" s="20">
        <v>6</v>
      </c>
      <c r="K571" s="38">
        <v>236</v>
      </c>
      <c r="L571" s="77"/>
      <c r="M571" s="86"/>
      <c r="N571" s="22">
        <v>-0.847489714622498</v>
      </c>
    </row>
    <row r="572" spans="1:14" x14ac:dyDescent="0.35">
      <c r="A572" s="92"/>
      <c r="B572" s="20" t="s">
        <v>380</v>
      </c>
      <c r="C572" s="21">
        <v>0.31645569620253172</v>
      </c>
      <c r="D572" s="20">
        <v>0.38227848101265821</v>
      </c>
      <c r="E572" s="21">
        <v>0.21012658227848099</v>
      </c>
      <c r="F572" s="20">
        <v>9.1139240506329114E-2</v>
      </c>
      <c r="G572" s="21">
        <v>125</v>
      </c>
      <c r="H572" s="20">
        <v>151</v>
      </c>
      <c r="I572" s="21">
        <v>83</v>
      </c>
      <c r="J572" s="20">
        <v>36</v>
      </c>
      <c r="K572" s="38">
        <v>395</v>
      </c>
      <c r="L572" s="77"/>
      <c r="M572" s="86"/>
      <c r="N572" s="22">
        <v>-0.53708153963089</v>
      </c>
    </row>
    <row r="573" spans="1:14" x14ac:dyDescent="0.35">
      <c r="A573" s="92"/>
      <c r="B573" s="20" t="s">
        <v>11</v>
      </c>
      <c r="C573" s="21">
        <v>0.35097001763668428</v>
      </c>
      <c r="D573" s="20">
        <v>0.41269841269841268</v>
      </c>
      <c r="E573" s="21">
        <v>0.2116402116402116</v>
      </c>
      <c r="F573" s="20">
        <v>2.469135802469136E-2</v>
      </c>
      <c r="G573" s="21">
        <v>199</v>
      </c>
      <c r="H573" s="20">
        <v>234</v>
      </c>
      <c r="I573" s="21">
        <v>120</v>
      </c>
      <c r="J573" s="20">
        <v>14</v>
      </c>
      <c r="K573" s="38">
        <v>567</v>
      </c>
      <c r="L573" s="77"/>
      <c r="M573" s="86"/>
      <c r="N573" s="22">
        <v>-0.25789478421211198</v>
      </c>
    </row>
    <row r="574" spans="1:14" x14ac:dyDescent="0.35">
      <c r="A574" s="92"/>
      <c r="B574" s="20" t="s">
        <v>21</v>
      </c>
      <c r="C574" s="21">
        <v>0.48026315789473678</v>
      </c>
      <c r="D574" s="20">
        <v>0.2351973684210526</v>
      </c>
      <c r="E574" s="21">
        <v>0.17434210526315791</v>
      </c>
      <c r="F574" s="20">
        <v>0.1101973684210526</v>
      </c>
      <c r="G574" s="21">
        <v>292</v>
      </c>
      <c r="H574" s="20">
        <v>143</v>
      </c>
      <c r="I574" s="21">
        <v>106</v>
      </c>
      <c r="J574" s="20">
        <v>67</v>
      </c>
      <c r="K574" s="38">
        <v>608</v>
      </c>
      <c r="L574" s="77"/>
      <c r="M574" s="86"/>
      <c r="N574" s="22">
        <v>-0.602938652038574</v>
      </c>
    </row>
    <row r="575" spans="1:14" ht="16" thickBot="1" x14ac:dyDescent="0.4">
      <c r="A575" s="93"/>
      <c r="B575" s="26" t="s">
        <v>381</v>
      </c>
      <c r="C575" s="27">
        <v>0.28273809523809518</v>
      </c>
      <c r="D575" s="26">
        <v>0.39880952380952378</v>
      </c>
      <c r="E575" s="27">
        <v>0.30059523809523808</v>
      </c>
      <c r="F575" s="26">
        <v>1.785714285714286E-2</v>
      </c>
      <c r="G575" s="27">
        <v>95</v>
      </c>
      <c r="H575" s="26">
        <v>134</v>
      </c>
      <c r="I575" s="27">
        <v>101</v>
      </c>
      <c r="J575" s="26">
        <v>6</v>
      </c>
      <c r="K575" s="39">
        <v>336</v>
      </c>
      <c r="L575" s="78"/>
      <c r="M575" s="87"/>
      <c r="N575" s="28">
        <v>-0.68654721975326505</v>
      </c>
    </row>
    <row r="576" spans="1:14" x14ac:dyDescent="0.35">
      <c r="A576" s="88" t="s">
        <v>463</v>
      </c>
      <c r="B576" s="8" t="s">
        <v>29</v>
      </c>
      <c r="C576" s="9">
        <v>0.52023121387283233</v>
      </c>
      <c r="D576" s="8">
        <v>0.33911368015414262</v>
      </c>
      <c r="E576" s="9">
        <v>6.1657032755298651E-2</v>
      </c>
      <c r="F576" s="8">
        <v>7.8998073217726394E-2</v>
      </c>
      <c r="G576" s="9">
        <v>270</v>
      </c>
      <c r="H576" s="8">
        <v>176</v>
      </c>
      <c r="I576" s="9">
        <v>32</v>
      </c>
      <c r="J576" s="8">
        <v>41</v>
      </c>
      <c r="K576" s="34">
        <v>519</v>
      </c>
      <c r="L576" s="79" t="s">
        <v>10</v>
      </c>
      <c r="M576" s="82">
        <v>-0.75234526395797696</v>
      </c>
      <c r="N576" s="10">
        <v>0.56202930212020896</v>
      </c>
    </row>
    <row r="577" spans="1:14" x14ac:dyDescent="0.35">
      <c r="A577" s="89"/>
      <c r="B577" s="11" t="s">
        <v>25</v>
      </c>
      <c r="C577" s="12">
        <v>0.52339181286549707</v>
      </c>
      <c r="D577" s="11">
        <v>0.26315789473684209</v>
      </c>
      <c r="E577" s="12">
        <v>0.14327485380116961</v>
      </c>
      <c r="F577" s="11">
        <v>7.0175438596491224E-2</v>
      </c>
      <c r="G577" s="12">
        <v>179</v>
      </c>
      <c r="H577" s="11">
        <v>90</v>
      </c>
      <c r="I577" s="12">
        <v>49</v>
      </c>
      <c r="J577" s="11">
        <v>24</v>
      </c>
      <c r="K577" s="35">
        <v>342</v>
      </c>
      <c r="L577" s="80"/>
      <c r="M577" s="83"/>
      <c r="N577" s="13">
        <v>0.72988319396972701</v>
      </c>
    </row>
    <row r="578" spans="1:14" x14ac:dyDescent="0.35">
      <c r="A578" s="89"/>
      <c r="B578" s="11" t="s">
        <v>63</v>
      </c>
      <c r="C578" s="12">
        <v>0.63983050847457623</v>
      </c>
      <c r="D578" s="11">
        <v>0.1864406779661017</v>
      </c>
      <c r="E578" s="12">
        <v>9.3220338983050849E-2</v>
      </c>
      <c r="F578" s="11">
        <v>8.050847457627118E-2</v>
      </c>
      <c r="G578" s="12">
        <v>151</v>
      </c>
      <c r="H578" s="11">
        <v>44</v>
      </c>
      <c r="I578" s="12">
        <v>22</v>
      </c>
      <c r="J578" s="11">
        <v>19</v>
      </c>
      <c r="K578" s="35">
        <v>236</v>
      </c>
      <c r="L578" s="80"/>
      <c r="M578" s="83"/>
      <c r="N578" s="13">
        <v>0.236140176653862</v>
      </c>
    </row>
    <row r="579" spans="1:14" x14ac:dyDescent="0.35">
      <c r="A579" s="89"/>
      <c r="B579" s="11" t="s">
        <v>380</v>
      </c>
      <c r="C579" s="12">
        <v>0.71392405063291142</v>
      </c>
      <c r="D579" s="11">
        <v>0.16708860759493671</v>
      </c>
      <c r="E579" s="12">
        <v>5.8227848101265821E-2</v>
      </c>
      <c r="F579" s="11">
        <v>6.0759493670886067E-2</v>
      </c>
      <c r="G579" s="12">
        <v>282</v>
      </c>
      <c r="H579" s="11">
        <v>66</v>
      </c>
      <c r="I579" s="12">
        <v>23</v>
      </c>
      <c r="J579" s="11">
        <v>24</v>
      </c>
      <c r="K579" s="35">
        <v>395</v>
      </c>
      <c r="L579" s="80"/>
      <c r="M579" s="83"/>
      <c r="N579" s="13">
        <v>0.748701691627502</v>
      </c>
    </row>
    <row r="580" spans="1:14" x14ac:dyDescent="0.35">
      <c r="A580" s="89"/>
      <c r="B580" s="11" t="s">
        <v>11</v>
      </c>
      <c r="C580" s="12">
        <v>0.75661375661375663</v>
      </c>
      <c r="D580" s="11">
        <v>0.1305114638447972</v>
      </c>
      <c r="E580" s="12">
        <v>5.2910052910052907E-2</v>
      </c>
      <c r="F580" s="11">
        <v>5.9964726631393288E-2</v>
      </c>
      <c r="G580" s="12">
        <v>429</v>
      </c>
      <c r="H580" s="11">
        <v>74</v>
      </c>
      <c r="I580" s="12">
        <v>30</v>
      </c>
      <c r="J580" s="11">
        <v>34</v>
      </c>
      <c r="K580" s="35">
        <v>567</v>
      </c>
      <c r="L580" s="80"/>
      <c r="M580" s="83"/>
      <c r="N580" s="13">
        <v>0.740301012992859</v>
      </c>
    </row>
    <row r="581" spans="1:14" x14ac:dyDescent="0.35">
      <c r="A581" s="89"/>
      <c r="B581" s="11" t="s">
        <v>21</v>
      </c>
      <c r="C581" s="12">
        <v>0.35361842105263158</v>
      </c>
      <c r="D581" s="11">
        <v>0.48519736842105271</v>
      </c>
      <c r="E581" s="12">
        <v>6.9078947368421059E-2</v>
      </c>
      <c r="F581" s="11">
        <v>9.2105263157894732E-2</v>
      </c>
      <c r="G581" s="12">
        <v>215</v>
      </c>
      <c r="H581" s="11">
        <v>295</v>
      </c>
      <c r="I581" s="12">
        <v>42</v>
      </c>
      <c r="J581" s="11">
        <v>56</v>
      </c>
      <c r="K581" s="35">
        <v>608</v>
      </c>
      <c r="L581" s="80"/>
      <c r="M581" s="83"/>
      <c r="N581" s="13">
        <v>0.70140546560287498</v>
      </c>
    </row>
    <row r="582" spans="1:14" ht="16" thickBot="1" x14ac:dyDescent="0.4">
      <c r="A582" s="90"/>
      <c r="B582" s="14" t="s">
        <v>381</v>
      </c>
      <c r="C582" s="15">
        <v>0.5178571428571429</v>
      </c>
      <c r="D582" s="14">
        <v>0.2142857142857143</v>
      </c>
      <c r="E582" s="15">
        <v>0.1607142857142857</v>
      </c>
      <c r="F582" s="14">
        <v>0.1071428571428571</v>
      </c>
      <c r="G582" s="15">
        <v>174</v>
      </c>
      <c r="H582" s="14">
        <v>72</v>
      </c>
      <c r="I582" s="15">
        <v>54</v>
      </c>
      <c r="J582" s="14">
        <v>36</v>
      </c>
      <c r="K582" s="36">
        <v>336</v>
      </c>
      <c r="L582" s="81"/>
      <c r="M582" s="84"/>
      <c r="N582" s="16">
        <v>0.68340986967086803</v>
      </c>
    </row>
    <row r="583" spans="1:14" x14ac:dyDescent="0.35">
      <c r="A583" s="91" t="s">
        <v>464</v>
      </c>
      <c r="B583" s="17" t="s">
        <v>29</v>
      </c>
      <c r="C583" s="18">
        <v>0.28709055876685929</v>
      </c>
      <c r="D583" s="17">
        <v>0.50289017341040465</v>
      </c>
      <c r="E583" s="18">
        <v>0.1464354527938343</v>
      </c>
      <c r="F583" s="17">
        <v>6.358381502890173E-2</v>
      </c>
      <c r="G583" s="18">
        <v>149</v>
      </c>
      <c r="H583" s="17">
        <v>261</v>
      </c>
      <c r="I583" s="18">
        <v>76</v>
      </c>
      <c r="J583" s="17">
        <v>33</v>
      </c>
      <c r="K583" s="37">
        <v>519</v>
      </c>
      <c r="L583" s="76" t="s">
        <v>36</v>
      </c>
      <c r="M583" s="85">
        <v>0.93051153421402</v>
      </c>
      <c r="N583" s="19">
        <v>-0.93648290634155296</v>
      </c>
    </row>
    <row r="584" spans="1:14" x14ac:dyDescent="0.35">
      <c r="A584" s="92"/>
      <c r="B584" s="20" t="s">
        <v>25</v>
      </c>
      <c r="C584" s="21">
        <v>0.2807017543859649</v>
      </c>
      <c r="D584" s="20">
        <v>0.55555555555555558</v>
      </c>
      <c r="E584" s="21">
        <v>0.14912280701754391</v>
      </c>
      <c r="F584" s="20">
        <v>1.461988304093567E-2</v>
      </c>
      <c r="G584" s="21">
        <v>96</v>
      </c>
      <c r="H584" s="20">
        <v>190</v>
      </c>
      <c r="I584" s="21">
        <v>51</v>
      </c>
      <c r="J584" s="20">
        <v>5</v>
      </c>
      <c r="K584" s="38">
        <v>342</v>
      </c>
      <c r="L584" s="77"/>
      <c r="M584" s="86"/>
      <c r="N584" s="22">
        <v>-0.85717391967773404</v>
      </c>
    </row>
    <row r="585" spans="1:14" x14ac:dyDescent="0.35">
      <c r="A585" s="92"/>
      <c r="B585" s="20" t="s">
        <v>63</v>
      </c>
      <c r="C585" s="21">
        <v>0.17372881355932199</v>
      </c>
      <c r="D585" s="20">
        <v>0.66101694915254239</v>
      </c>
      <c r="E585" s="21">
        <v>6.7796610169491525E-2</v>
      </c>
      <c r="F585" s="20">
        <v>9.7457627118644072E-2</v>
      </c>
      <c r="G585" s="21">
        <v>41</v>
      </c>
      <c r="H585" s="20">
        <v>156</v>
      </c>
      <c r="I585" s="21">
        <v>16</v>
      </c>
      <c r="J585" s="20">
        <v>23</v>
      </c>
      <c r="K585" s="38">
        <v>236</v>
      </c>
      <c r="L585" s="77"/>
      <c r="M585" s="86"/>
      <c r="N585" s="22">
        <v>-0.97385317087173495</v>
      </c>
    </row>
    <row r="586" spans="1:14" x14ac:dyDescent="0.35">
      <c r="A586" s="92"/>
      <c r="B586" s="20" t="s">
        <v>380</v>
      </c>
      <c r="C586" s="21">
        <v>0.18734177215189871</v>
      </c>
      <c r="D586" s="20">
        <v>0.54936708860759498</v>
      </c>
      <c r="E586" s="21">
        <v>0.1012658227848101</v>
      </c>
      <c r="F586" s="20">
        <v>0.16202531645569621</v>
      </c>
      <c r="G586" s="21">
        <v>74</v>
      </c>
      <c r="H586" s="20">
        <v>217</v>
      </c>
      <c r="I586" s="21">
        <v>40</v>
      </c>
      <c r="J586" s="20">
        <v>64</v>
      </c>
      <c r="K586" s="38">
        <v>395</v>
      </c>
      <c r="L586" s="77"/>
      <c r="M586" s="86"/>
      <c r="N586" s="22">
        <v>-0.90463930368423495</v>
      </c>
    </row>
    <row r="587" spans="1:14" x14ac:dyDescent="0.35">
      <c r="A587" s="92"/>
      <c r="B587" s="20" t="s">
        <v>11</v>
      </c>
      <c r="C587" s="21">
        <v>0.14285714285714279</v>
      </c>
      <c r="D587" s="20">
        <v>0.55555555555555558</v>
      </c>
      <c r="E587" s="21">
        <v>0.1075837742504409</v>
      </c>
      <c r="F587" s="20">
        <v>0.19400352733686069</v>
      </c>
      <c r="G587" s="21">
        <v>81</v>
      </c>
      <c r="H587" s="20">
        <v>315</v>
      </c>
      <c r="I587" s="21">
        <v>61</v>
      </c>
      <c r="J587" s="20">
        <v>110</v>
      </c>
      <c r="K587" s="38">
        <v>567</v>
      </c>
      <c r="L587" s="77"/>
      <c r="M587" s="86"/>
      <c r="N587" s="22">
        <v>-0.82023966312408403</v>
      </c>
    </row>
    <row r="588" spans="1:14" x14ac:dyDescent="0.35">
      <c r="A588" s="92"/>
      <c r="B588" s="20" t="s">
        <v>21</v>
      </c>
      <c r="C588" s="21">
        <v>0.48848684210526322</v>
      </c>
      <c r="D588" s="20">
        <v>0.31414473684210531</v>
      </c>
      <c r="E588" s="21">
        <v>0.15460526315789469</v>
      </c>
      <c r="F588" s="20">
        <v>4.2763157894736843E-2</v>
      </c>
      <c r="G588" s="21">
        <v>297</v>
      </c>
      <c r="H588" s="20">
        <v>191</v>
      </c>
      <c r="I588" s="21">
        <v>94</v>
      </c>
      <c r="J588" s="20">
        <v>26</v>
      </c>
      <c r="K588" s="38">
        <v>608</v>
      </c>
      <c r="L588" s="77"/>
      <c r="M588" s="86"/>
      <c r="N588" s="22">
        <v>-0.95441913604736295</v>
      </c>
    </row>
    <row r="589" spans="1:14" ht="16" thickBot="1" x14ac:dyDescent="0.4">
      <c r="A589" s="93"/>
      <c r="B589" s="26" t="s">
        <v>381</v>
      </c>
      <c r="C589" s="27">
        <v>0.2142857142857143</v>
      </c>
      <c r="D589" s="26">
        <v>0.52380952380952384</v>
      </c>
      <c r="E589" s="27">
        <v>9.8214285714285712E-2</v>
      </c>
      <c r="F589" s="26">
        <v>0.16369047619047619</v>
      </c>
      <c r="G589" s="27">
        <v>72</v>
      </c>
      <c r="H589" s="26">
        <v>176</v>
      </c>
      <c r="I589" s="27">
        <v>33</v>
      </c>
      <c r="J589" s="26">
        <v>55</v>
      </c>
      <c r="K589" s="39">
        <v>336</v>
      </c>
      <c r="L589" s="78"/>
      <c r="M589" s="87"/>
      <c r="N589" s="28">
        <v>-0.83062416315078702</v>
      </c>
    </row>
    <row r="590" spans="1:14" x14ac:dyDescent="0.35">
      <c r="A590" s="88" t="s">
        <v>465</v>
      </c>
      <c r="B590" s="8" t="s">
        <v>29</v>
      </c>
      <c r="C590" s="9">
        <v>0.46242774566473988</v>
      </c>
      <c r="D590" s="8">
        <v>0.46628131021194608</v>
      </c>
      <c r="E590" s="9">
        <v>4.238921001926782E-2</v>
      </c>
      <c r="F590" s="8">
        <v>2.8901734104046239E-2</v>
      </c>
      <c r="G590" s="9">
        <v>240</v>
      </c>
      <c r="H590" s="8">
        <v>242</v>
      </c>
      <c r="I590" s="9">
        <v>22</v>
      </c>
      <c r="J590" s="8">
        <v>15</v>
      </c>
      <c r="K590" s="34">
        <v>519</v>
      </c>
      <c r="L590" s="79" t="s">
        <v>19</v>
      </c>
      <c r="M590" s="82">
        <v>-0.35504102706909202</v>
      </c>
      <c r="N590" s="10">
        <v>0.36688628792762801</v>
      </c>
    </row>
    <row r="591" spans="1:14" x14ac:dyDescent="0.35">
      <c r="A591" s="89"/>
      <c r="B591" s="11" t="s">
        <v>25</v>
      </c>
      <c r="C591" s="12">
        <v>0.35087719298245612</v>
      </c>
      <c r="D591" s="11">
        <v>0.50292397660818711</v>
      </c>
      <c r="E591" s="12">
        <v>0.13157894736842099</v>
      </c>
      <c r="F591" s="11">
        <v>1.461988304093567E-2</v>
      </c>
      <c r="G591" s="12">
        <v>120</v>
      </c>
      <c r="H591" s="11">
        <v>172</v>
      </c>
      <c r="I591" s="12">
        <v>45</v>
      </c>
      <c r="J591" s="11">
        <v>5</v>
      </c>
      <c r="K591" s="35">
        <v>342</v>
      </c>
      <c r="L591" s="80"/>
      <c r="M591" s="83"/>
      <c r="N591" s="13">
        <v>0.23687034845352201</v>
      </c>
    </row>
    <row r="592" spans="1:14" x14ac:dyDescent="0.35">
      <c r="A592" s="89"/>
      <c r="B592" s="11" t="s">
        <v>63</v>
      </c>
      <c r="C592" s="12">
        <v>0.27966101694915252</v>
      </c>
      <c r="D592" s="11">
        <v>0.60169491525423724</v>
      </c>
      <c r="E592" s="12">
        <v>0.11440677966101689</v>
      </c>
      <c r="F592" s="11">
        <v>4.2372881355932203E-3</v>
      </c>
      <c r="G592" s="12">
        <v>66</v>
      </c>
      <c r="H592" s="11">
        <v>142</v>
      </c>
      <c r="I592" s="12">
        <v>27</v>
      </c>
      <c r="J592" s="11">
        <v>1</v>
      </c>
      <c r="K592" s="35">
        <v>236</v>
      </c>
      <c r="L592" s="80"/>
      <c r="M592" s="83"/>
      <c r="N592" s="13">
        <v>-0.2322096824646</v>
      </c>
    </row>
    <row r="593" spans="1:14" x14ac:dyDescent="0.35">
      <c r="A593" s="89"/>
      <c r="B593" s="11" t="s">
        <v>380</v>
      </c>
      <c r="C593" s="12">
        <v>0.6</v>
      </c>
      <c r="D593" s="11">
        <v>0.27088607594936709</v>
      </c>
      <c r="E593" s="12">
        <v>0.1240506329113924</v>
      </c>
      <c r="F593" s="11">
        <v>5.0632911392405064E-3</v>
      </c>
      <c r="G593" s="12">
        <v>237</v>
      </c>
      <c r="H593" s="11">
        <v>107</v>
      </c>
      <c r="I593" s="12">
        <v>49</v>
      </c>
      <c r="J593" s="11">
        <v>2</v>
      </c>
      <c r="K593" s="35">
        <v>395</v>
      </c>
      <c r="L593" s="80"/>
      <c r="M593" s="83"/>
      <c r="N593" s="13">
        <v>0.32710185647010798</v>
      </c>
    </row>
    <row r="594" spans="1:14" x14ac:dyDescent="0.35">
      <c r="A594" s="89"/>
      <c r="B594" s="11" t="s">
        <v>11</v>
      </c>
      <c r="C594" s="12">
        <v>0.49029982363315688</v>
      </c>
      <c r="D594" s="11">
        <v>0.36860670194003531</v>
      </c>
      <c r="E594" s="12">
        <v>0.1199294532627866</v>
      </c>
      <c r="F594" s="11">
        <v>2.1164021164021159E-2</v>
      </c>
      <c r="G594" s="12">
        <v>278</v>
      </c>
      <c r="H594" s="11">
        <v>209</v>
      </c>
      <c r="I594" s="12">
        <v>68</v>
      </c>
      <c r="J594" s="11">
        <v>12</v>
      </c>
      <c r="K594" s="35">
        <v>567</v>
      </c>
      <c r="L594" s="80"/>
      <c r="M594" s="83"/>
      <c r="N594" s="13">
        <v>0.31178489327430697</v>
      </c>
    </row>
    <row r="595" spans="1:14" x14ac:dyDescent="0.35">
      <c r="A595" s="89"/>
      <c r="B595" s="11" t="s">
        <v>21</v>
      </c>
      <c r="C595" s="12">
        <v>0.30098684210526322</v>
      </c>
      <c r="D595" s="11">
        <v>0.64144736842105265</v>
      </c>
      <c r="E595" s="12">
        <v>2.6315789473684209E-2</v>
      </c>
      <c r="F595" s="11">
        <v>3.125E-2</v>
      </c>
      <c r="G595" s="12">
        <v>183</v>
      </c>
      <c r="H595" s="11">
        <v>390</v>
      </c>
      <c r="I595" s="12">
        <v>16</v>
      </c>
      <c r="J595" s="11">
        <v>19</v>
      </c>
      <c r="K595" s="35">
        <v>608</v>
      </c>
      <c r="L595" s="80"/>
      <c r="M595" s="83"/>
      <c r="N595" s="13">
        <v>0.478800058364868</v>
      </c>
    </row>
    <row r="596" spans="1:14" ht="16" thickBot="1" x14ac:dyDescent="0.4">
      <c r="A596" s="90"/>
      <c r="B596" s="14" t="s">
        <v>381</v>
      </c>
      <c r="C596" s="15">
        <v>0.39583333333333331</v>
      </c>
      <c r="D596" s="14">
        <v>0.39880952380952378</v>
      </c>
      <c r="E596" s="15">
        <v>0.16369047619047619</v>
      </c>
      <c r="F596" s="14">
        <v>4.1666666666666657E-2</v>
      </c>
      <c r="G596" s="15">
        <v>133</v>
      </c>
      <c r="H596" s="14">
        <v>134</v>
      </c>
      <c r="I596" s="15">
        <v>55</v>
      </c>
      <c r="J596" s="14">
        <v>14</v>
      </c>
      <c r="K596" s="36">
        <v>336</v>
      </c>
      <c r="L596" s="81"/>
      <c r="M596" s="84"/>
      <c r="N596" s="16">
        <v>0.23377437889576</v>
      </c>
    </row>
    <row r="597" spans="1:14" x14ac:dyDescent="0.35">
      <c r="A597" s="91" t="s">
        <v>466</v>
      </c>
      <c r="B597" s="17" t="s">
        <v>29</v>
      </c>
      <c r="C597" s="18">
        <v>0.26974951830443161</v>
      </c>
      <c r="D597" s="17">
        <v>0.51637764932562624</v>
      </c>
      <c r="E597" s="18">
        <v>0.19653179190751449</v>
      </c>
      <c r="F597" s="17">
        <v>1.734104046242774E-2</v>
      </c>
      <c r="G597" s="18">
        <v>140</v>
      </c>
      <c r="H597" s="17">
        <v>268</v>
      </c>
      <c r="I597" s="18">
        <v>102</v>
      </c>
      <c r="J597" s="17">
        <v>9</v>
      </c>
      <c r="K597" s="37">
        <v>519</v>
      </c>
      <c r="L597" s="76" t="s">
        <v>36</v>
      </c>
      <c r="M597" s="85">
        <v>0.93093132972717296</v>
      </c>
      <c r="N597" s="19">
        <v>-0.94043183326721203</v>
      </c>
    </row>
    <row r="598" spans="1:14" x14ac:dyDescent="0.35">
      <c r="A598" s="92"/>
      <c r="B598" s="20" t="s">
        <v>25</v>
      </c>
      <c r="C598" s="21">
        <v>0.18421052631578949</v>
      </c>
      <c r="D598" s="20">
        <v>0.61403508771929827</v>
      </c>
      <c r="E598" s="21">
        <v>0.16081871345029239</v>
      </c>
      <c r="F598" s="20">
        <v>4.0935672514619881E-2</v>
      </c>
      <c r="G598" s="21">
        <v>63</v>
      </c>
      <c r="H598" s="20">
        <v>210</v>
      </c>
      <c r="I598" s="21">
        <v>55</v>
      </c>
      <c r="J598" s="20">
        <v>14</v>
      </c>
      <c r="K598" s="38">
        <v>342</v>
      </c>
      <c r="L598" s="77"/>
      <c r="M598" s="86"/>
      <c r="N598" s="22">
        <v>-0.90662711858749401</v>
      </c>
    </row>
    <row r="599" spans="1:14" x14ac:dyDescent="0.35">
      <c r="A599" s="92"/>
      <c r="B599" s="20" t="s">
        <v>63</v>
      </c>
      <c r="C599" s="21">
        <v>0.15254237288135589</v>
      </c>
      <c r="D599" s="20">
        <v>0.67372881355932202</v>
      </c>
      <c r="E599" s="21">
        <v>0.13983050847457629</v>
      </c>
      <c r="F599" s="20">
        <v>3.3898305084745763E-2</v>
      </c>
      <c r="G599" s="21">
        <v>36</v>
      </c>
      <c r="H599" s="20">
        <v>159</v>
      </c>
      <c r="I599" s="21">
        <v>33</v>
      </c>
      <c r="J599" s="20">
        <v>8</v>
      </c>
      <c r="K599" s="38">
        <v>236</v>
      </c>
      <c r="L599" s="77"/>
      <c r="M599" s="86"/>
      <c r="N599" s="22">
        <v>-0.986846923828125</v>
      </c>
    </row>
    <row r="600" spans="1:14" x14ac:dyDescent="0.35">
      <c r="A600" s="92"/>
      <c r="B600" s="20" t="s">
        <v>380</v>
      </c>
      <c r="C600" s="21">
        <v>0.19240506329113921</v>
      </c>
      <c r="D600" s="20">
        <v>0.58734177215189876</v>
      </c>
      <c r="E600" s="21">
        <v>0.19746835443037969</v>
      </c>
      <c r="F600" s="20">
        <v>2.2784810126582278E-2</v>
      </c>
      <c r="G600" s="21">
        <v>76</v>
      </c>
      <c r="H600" s="20">
        <v>232</v>
      </c>
      <c r="I600" s="21">
        <v>78</v>
      </c>
      <c r="J600" s="20">
        <v>9</v>
      </c>
      <c r="K600" s="38">
        <v>395</v>
      </c>
      <c r="L600" s="77"/>
      <c r="M600" s="86"/>
      <c r="N600" s="22">
        <v>-0.86303436756134</v>
      </c>
    </row>
    <row r="601" spans="1:14" x14ac:dyDescent="0.35">
      <c r="A601" s="92"/>
      <c r="B601" s="20" t="s">
        <v>11</v>
      </c>
      <c r="C601" s="21">
        <v>0.1287477954144621</v>
      </c>
      <c r="D601" s="20">
        <v>0.6278659611992945</v>
      </c>
      <c r="E601" s="21">
        <v>0.1869488536155203</v>
      </c>
      <c r="F601" s="20">
        <v>5.6437389770723101E-2</v>
      </c>
      <c r="G601" s="21">
        <v>73</v>
      </c>
      <c r="H601" s="20">
        <v>356</v>
      </c>
      <c r="I601" s="21">
        <v>106</v>
      </c>
      <c r="J601" s="20">
        <v>32</v>
      </c>
      <c r="K601" s="38">
        <v>567</v>
      </c>
      <c r="L601" s="77"/>
      <c r="M601" s="86"/>
      <c r="N601" s="22">
        <v>-0.85486042499542203</v>
      </c>
    </row>
    <row r="602" spans="1:14" x14ac:dyDescent="0.35">
      <c r="A602" s="92"/>
      <c r="B602" s="20" t="s">
        <v>21</v>
      </c>
      <c r="C602" s="21">
        <v>0.47861842105263158</v>
      </c>
      <c r="D602" s="20">
        <v>0.33388157894736842</v>
      </c>
      <c r="E602" s="21">
        <v>0.1398026315789474</v>
      </c>
      <c r="F602" s="20">
        <v>4.7697368421052627E-2</v>
      </c>
      <c r="G602" s="21">
        <v>291</v>
      </c>
      <c r="H602" s="20">
        <v>203</v>
      </c>
      <c r="I602" s="21">
        <v>85</v>
      </c>
      <c r="J602" s="20">
        <v>29</v>
      </c>
      <c r="K602" s="38">
        <v>608</v>
      </c>
      <c r="L602" s="77"/>
      <c r="M602" s="86"/>
      <c r="N602" s="22">
        <v>-0.91608035564422596</v>
      </c>
    </row>
    <row r="603" spans="1:14" ht="16" thickBot="1" x14ac:dyDescent="0.4">
      <c r="A603" s="93"/>
      <c r="B603" s="26" t="s">
        <v>381</v>
      </c>
      <c r="C603" s="27">
        <v>0.1875</v>
      </c>
      <c r="D603" s="26">
        <v>0.66666666666666663</v>
      </c>
      <c r="E603" s="27">
        <v>0.14285714285714279</v>
      </c>
      <c r="F603" s="26">
        <v>2.976190476190476E-3</v>
      </c>
      <c r="G603" s="27">
        <v>63</v>
      </c>
      <c r="H603" s="26">
        <v>224</v>
      </c>
      <c r="I603" s="27">
        <v>48</v>
      </c>
      <c r="J603" s="26">
        <v>1</v>
      </c>
      <c r="K603" s="39">
        <v>336</v>
      </c>
      <c r="L603" s="78"/>
      <c r="M603" s="87"/>
      <c r="N603" s="28">
        <v>-0.857743620872498</v>
      </c>
    </row>
    <row r="604" spans="1:14" x14ac:dyDescent="0.35">
      <c r="A604" s="88" t="s">
        <v>467</v>
      </c>
      <c r="B604" s="8" t="s">
        <v>29</v>
      </c>
      <c r="C604" s="9">
        <v>0.52793834296724473</v>
      </c>
      <c r="D604" s="8">
        <v>0.39884393063583817</v>
      </c>
      <c r="E604" s="9">
        <v>3.8535645472061661E-3</v>
      </c>
      <c r="F604" s="8">
        <v>6.9364161849710976E-2</v>
      </c>
      <c r="G604" s="9">
        <v>274</v>
      </c>
      <c r="H604" s="8">
        <v>207</v>
      </c>
      <c r="I604" s="9">
        <v>2</v>
      </c>
      <c r="J604" s="8">
        <v>36</v>
      </c>
      <c r="K604" s="34">
        <v>519</v>
      </c>
      <c r="L604" s="79" t="s">
        <v>28</v>
      </c>
      <c r="M604" s="82">
        <v>-0.83041459321975697</v>
      </c>
      <c r="N604" s="10">
        <v>0.57421970367431596</v>
      </c>
    </row>
    <row r="605" spans="1:14" x14ac:dyDescent="0.35">
      <c r="A605" s="89"/>
      <c r="B605" s="11" t="s">
        <v>25</v>
      </c>
      <c r="C605" s="12">
        <v>0.67836257309941517</v>
      </c>
      <c r="D605" s="11">
        <v>0.26023391812865498</v>
      </c>
      <c r="E605" s="12">
        <v>3.8011695906432753E-2</v>
      </c>
      <c r="F605" s="11">
        <v>2.3391812865497071E-2</v>
      </c>
      <c r="G605" s="12">
        <v>232</v>
      </c>
      <c r="H605" s="11">
        <v>89</v>
      </c>
      <c r="I605" s="12">
        <v>13</v>
      </c>
      <c r="J605" s="11">
        <v>8</v>
      </c>
      <c r="K605" s="35">
        <v>342</v>
      </c>
      <c r="L605" s="80"/>
      <c r="M605" s="83"/>
      <c r="N605" s="13">
        <v>0.79064846038818404</v>
      </c>
    </row>
    <row r="606" spans="1:14" x14ac:dyDescent="0.35">
      <c r="A606" s="89"/>
      <c r="B606" s="11" t="s">
        <v>63</v>
      </c>
      <c r="C606" s="12">
        <v>0.73728813559322037</v>
      </c>
      <c r="D606" s="11">
        <v>0.17372881355932199</v>
      </c>
      <c r="E606" s="12">
        <v>1.6949152542372881E-2</v>
      </c>
      <c r="F606" s="11">
        <v>7.2033898305084748E-2</v>
      </c>
      <c r="G606" s="12">
        <v>174</v>
      </c>
      <c r="H606" s="11">
        <v>41</v>
      </c>
      <c r="I606" s="12">
        <v>4</v>
      </c>
      <c r="J606" s="11">
        <v>17</v>
      </c>
      <c r="K606" s="35">
        <v>236</v>
      </c>
      <c r="L606" s="80"/>
      <c r="M606" s="83"/>
      <c r="N606" s="13">
        <v>0.29320922493934598</v>
      </c>
    </row>
    <row r="607" spans="1:14" x14ac:dyDescent="0.35">
      <c r="A607" s="89"/>
      <c r="B607" s="11" t="s">
        <v>380</v>
      </c>
      <c r="C607" s="12">
        <v>0.78734177215189871</v>
      </c>
      <c r="D607" s="11">
        <v>0.16962025316455701</v>
      </c>
      <c r="E607" s="12">
        <v>3.037974683544304E-2</v>
      </c>
      <c r="F607" s="11">
        <v>1.2658227848101271E-2</v>
      </c>
      <c r="G607" s="12">
        <v>311</v>
      </c>
      <c r="H607" s="11">
        <v>67</v>
      </c>
      <c r="I607" s="12">
        <v>12</v>
      </c>
      <c r="J607" s="11">
        <v>5</v>
      </c>
      <c r="K607" s="35">
        <v>395</v>
      </c>
      <c r="L607" s="80"/>
      <c r="M607" s="83"/>
      <c r="N607" s="13">
        <v>0.93730437755584695</v>
      </c>
    </row>
    <row r="608" spans="1:14" x14ac:dyDescent="0.35">
      <c r="A608" s="89"/>
      <c r="B608" s="11" t="s">
        <v>11</v>
      </c>
      <c r="C608" s="12">
        <v>0.8271604938271605</v>
      </c>
      <c r="D608" s="11">
        <v>0.13932980599647271</v>
      </c>
      <c r="E608" s="12">
        <v>8.8183421516754845E-3</v>
      </c>
      <c r="F608" s="11">
        <v>2.469135802469136E-2</v>
      </c>
      <c r="G608" s="12">
        <v>469</v>
      </c>
      <c r="H608" s="11">
        <v>79</v>
      </c>
      <c r="I608" s="12">
        <v>5</v>
      </c>
      <c r="J608" s="11">
        <v>14</v>
      </c>
      <c r="K608" s="35">
        <v>567</v>
      </c>
      <c r="L608" s="80"/>
      <c r="M608" s="83"/>
      <c r="N608" s="13">
        <v>0.80868935585021995</v>
      </c>
    </row>
    <row r="609" spans="1:14" x14ac:dyDescent="0.35">
      <c r="A609" s="89"/>
      <c r="B609" s="11" t="s">
        <v>21</v>
      </c>
      <c r="C609" s="12">
        <v>0.39473684210526322</v>
      </c>
      <c r="D609" s="11">
        <v>0.46052631578947367</v>
      </c>
      <c r="E609" s="12">
        <v>1.8092105263157899E-2</v>
      </c>
      <c r="F609" s="11">
        <v>0.12664473684210531</v>
      </c>
      <c r="G609" s="12">
        <v>240</v>
      </c>
      <c r="H609" s="11">
        <v>280</v>
      </c>
      <c r="I609" s="12">
        <v>11</v>
      </c>
      <c r="J609" s="11">
        <v>77</v>
      </c>
      <c r="K609" s="35">
        <v>608</v>
      </c>
      <c r="L609" s="80"/>
      <c r="M609" s="83"/>
      <c r="N609" s="13">
        <v>0.90868961811065696</v>
      </c>
    </row>
    <row r="610" spans="1:14" ht="16" thickBot="1" x14ac:dyDescent="0.4">
      <c r="A610" s="90"/>
      <c r="B610" s="14" t="s">
        <v>381</v>
      </c>
      <c r="C610" s="15">
        <v>0.7410714285714286</v>
      </c>
      <c r="D610" s="14">
        <v>0.23214285714285721</v>
      </c>
      <c r="E610" s="15">
        <v>1.785714285714286E-2</v>
      </c>
      <c r="F610" s="14">
        <v>8.9285714285714281E-3</v>
      </c>
      <c r="G610" s="15">
        <v>249</v>
      </c>
      <c r="H610" s="14">
        <v>78</v>
      </c>
      <c r="I610" s="15">
        <v>6</v>
      </c>
      <c r="J610" s="14">
        <v>3</v>
      </c>
      <c r="K610" s="36">
        <v>336</v>
      </c>
      <c r="L610" s="81"/>
      <c r="M610" s="84"/>
      <c r="N610" s="16">
        <v>0.73651230335235596</v>
      </c>
    </row>
    <row r="611" spans="1:14" x14ac:dyDescent="0.35">
      <c r="A611" s="91" t="s">
        <v>468</v>
      </c>
      <c r="B611" s="17" t="s">
        <v>29</v>
      </c>
      <c r="C611" s="18">
        <v>0.51830443159922923</v>
      </c>
      <c r="D611" s="17">
        <v>0.43737957610789979</v>
      </c>
      <c r="E611" s="18">
        <v>1.734104046242774E-2</v>
      </c>
      <c r="F611" s="17">
        <v>2.6974951830443159E-2</v>
      </c>
      <c r="G611" s="18">
        <v>269</v>
      </c>
      <c r="H611" s="17">
        <v>227</v>
      </c>
      <c r="I611" s="18">
        <v>9</v>
      </c>
      <c r="J611" s="17">
        <v>14</v>
      </c>
      <c r="K611" s="37">
        <v>519</v>
      </c>
      <c r="L611" s="76" t="s">
        <v>67</v>
      </c>
      <c r="M611" s="85">
        <v>-0.78508120775222801</v>
      </c>
      <c r="N611" s="19">
        <v>0.64676535129547097</v>
      </c>
    </row>
    <row r="612" spans="1:14" x14ac:dyDescent="0.35">
      <c r="A612" s="92"/>
      <c r="B612" s="20" t="s">
        <v>25</v>
      </c>
      <c r="C612" s="21">
        <v>0.63742690058479534</v>
      </c>
      <c r="D612" s="20">
        <v>0.27192982456140352</v>
      </c>
      <c r="E612" s="21">
        <v>8.4795321637426896E-2</v>
      </c>
      <c r="F612" s="20">
        <v>5.8479532163742687E-3</v>
      </c>
      <c r="G612" s="21">
        <v>218</v>
      </c>
      <c r="H612" s="20">
        <v>93</v>
      </c>
      <c r="I612" s="21">
        <v>29</v>
      </c>
      <c r="J612" s="20">
        <v>2</v>
      </c>
      <c r="K612" s="38">
        <v>342</v>
      </c>
      <c r="L612" s="77"/>
      <c r="M612" s="86"/>
      <c r="N612" s="22">
        <v>0.76076018810272195</v>
      </c>
    </row>
    <row r="613" spans="1:14" x14ac:dyDescent="0.35">
      <c r="A613" s="92"/>
      <c r="B613" s="20" t="s">
        <v>63</v>
      </c>
      <c r="C613" s="21">
        <v>0.73728813559322037</v>
      </c>
      <c r="D613" s="20">
        <v>0.21610169491525419</v>
      </c>
      <c r="E613" s="21">
        <v>4.6610169491525417E-2</v>
      </c>
      <c r="F613" s="20">
        <v>0</v>
      </c>
      <c r="G613" s="21">
        <v>174</v>
      </c>
      <c r="H613" s="20">
        <v>51</v>
      </c>
      <c r="I613" s="21">
        <v>11</v>
      </c>
      <c r="J613" s="20">
        <v>0</v>
      </c>
      <c r="K613" s="38">
        <v>236</v>
      </c>
      <c r="L613" s="77"/>
      <c r="M613" s="86"/>
      <c r="N613" s="22">
        <v>0.45630627870559698</v>
      </c>
    </row>
    <row r="614" spans="1:14" x14ac:dyDescent="0.35">
      <c r="A614" s="92"/>
      <c r="B614" s="20" t="s">
        <v>380</v>
      </c>
      <c r="C614" s="21">
        <v>0.76202531645569616</v>
      </c>
      <c r="D614" s="20">
        <v>0.19493670886075951</v>
      </c>
      <c r="E614" s="21">
        <v>2.7848101265822781E-2</v>
      </c>
      <c r="F614" s="20">
        <v>1.518987341772152E-2</v>
      </c>
      <c r="G614" s="21">
        <v>301</v>
      </c>
      <c r="H614" s="20">
        <v>77</v>
      </c>
      <c r="I614" s="21">
        <v>11</v>
      </c>
      <c r="J614" s="20">
        <v>6</v>
      </c>
      <c r="K614" s="38">
        <v>395</v>
      </c>
      <c r="L614" s="77"/>
      <c r="M614" s="86"/>
      <c r="N614" s="22">
        <v>0.67213934659957897</v>
      </c>
    </row>
    <row r="615" spans="1:14" x14ac:dyDescent="0.35">
      <c r="A615" s="92"/>
      <c r="B615" s="20" t="s">
        <v>11</v>
      </c>
      <c r="C615" s="21">
        <v>0.70723104056437391</v>
      </c>
      <c r="D615" s="20">
        <v>0.1869488536155203</v>
      </c>
      <c r="E615" s="21">
        <v>0.1005291005291005</v>
      </c>
      <c r="F615" s="20">
        <v>5.2910052910052907E-3</v>
      </c>
      <c r="G615" s="21">
        <v>401</v>
      </c>
      <c r="H615" s="20">
        <v>106</v>
      </c>
      <c r="I615" s="21">
        <v>57</v>
      </c>
      <c r="J615" s="20">
        <v>3</v>
      </c>
      <c r="K615" s="38">
        <v>567</v>
      </c>
      <c r="L615" s="77"/>
      <c r="M615" s="86"/>
      <c r="N615" s="22">
        <v>0.664683938026428</v>
      </c>
    </row>
    <row r="616" spans="1:14" x14ac:dyDescent="0.35">
      <c r="A616" s="92"/>
      <c r="B616" s="20" t="s">
        <v>21</v>
      </c>
      <c r="C616" s="21">
        <v>0.33717105263157893</v>
      </c>
      <c r="D616" s="20">
        <v>0.57401315789473684</v>
      </c>
      <c r="E616" s="21">
        <v>5.5921052631578948E-2</v>
      </c>
      <c r="F616" s="20">
        <v>3.2894736842105261E-2</v>
      </c>
      <c r="G616" s="21">
        <v>205</v>
      </c>
      <c r="H616" s="20">
        <v>349</v>
      </c>
      <c r="I616" s="21">
        <v>34</v>
      </c>
      <c r="J616" s="20">
        <v>20</v>
      </c>
      <c r="K616" s="38">
        <v>608</v>
      </c>
      <c r="L616" s="77"/>
      <c r="M616" s="86"/>
      <c r="N616" s="22">
        <v>0.72965520620346103</v>
      </c>
    </row>
    <row r="617" spans="1:14" ht="16" thickBot="1" x14ac:dyDescent="0.4">
      <c r="A617" s="93"/>
      <c r="B617" s="26" t="s">
        <v>381</v>
      </c>
      <c r="C617" s="27">
        <v>0.58630952380952384</v>
      </c>
      <c r="D617" s="26">
        <v>0.26785714285714279</v>
      </c>
      <c r="E617" s="27">
        <v>0.12797619047619049</v>
      </c>
      <c r="F617" s="26">
        <v>1.785714285714286E-2</v>
      </c>
      <c r="G617" s="27">
        <v>197</v>
      </c>
      <c r="H617" s="26">
        <v>90</v>
      </c>
      <c r="I617" s="27">
        <v>43</v>
      </c>
      <c r="J617" s="26">
        <v>6</v>
      </c>
      <c r="K617" s="39">
        <v>336</v>
      </c>
      <c r="L617" s="78"/>
      <c r="M617" s="87"/>
      <c r="N617" s="28">
        <v>0.82044613361358598</v>
      </c>
    </row>
    <row r="618" spans="1:14" x14ac:dyDescent="0.35">
      <c r="A618" s="88" t="s">
        <v>469</v>
      </c>
      <c r="B618" s="8" t="s">
        <v>29</v>
      </c>
      <c r="C618" s="9">
        <v>0.34489402697495181</v>
      </c>
      <c r="D618" s="8">
        <v>0.41040462427745672</v>
      </c>
      <c r="E618" s="9">
        <v>0.19845857418111751</v>
      </c>
      <c r="F618" s="8">
        <v>4.6242774566473993E-2</v>
      </c>
      <c r="G618" s="9">
        <v>179</v>
      </c>
      <c r="H618" s="8">
        <v>213</v>
      </c>
      <c r="I618" s="9">
        <v>103</v>
      </c>
      <c r="J618" s="8">
        <v>24</v>
      </c>
      <c r="K618" s="34">
        <v>519</v>
      </c>
      <c r="L618" s="79" t="s">
        <v>23</v>
      </c>
      <c r="M618" s="82">
        <v>-3.2533843070268603E-2</v>
      </c>
      <c r="N618" s="10">
        <v>-0.25958269834518399</v>
      </c>
    </row>
    <row r="619" spans="1:14" x14ac:dyDescent="0.35">
      <c r="A619" s="89"/>
      <c r="B619" s="11" t="s">
        <v>25</v>
      </c>
      <c r="C619" s="12">
        <v>0.42397660818713451</v>
      </c>
      <c r="D619" s="11">
        <v>0.33625730994152048</v>
      </c>
      <c r="E619" s="12">
        <v>0.18421052631578949</v>
      </c>
      <c r="F619" s="11">
        <v>5.5555555555555552E-2</v>
      </c>
      <c r="G619" s="12">
        <v>145</v>
      </c>
      <c r="H619" s="11">
        <v>115</v>
      </c>
      <c r="I619" s="12">
        <v>63</v>
      </c>
      <c r="J619" s="11">
        <v>19</v>
      </c>
      <c r="K619" s="35">
        <v>342</v>
      </c>
      <c r="L619" s="80"/>
      <c r="M619" s="83"/>
      <c r="N619" s="13">
        <v>3.8625039160251597E-2</v>
      </c>
    </row>
    <row r="620" spans="1:14" x14ac:dyDescent="0.35">
      <c r="A620" s="89"/>
      <c r="B620" s="11" t="s">
        <v>63</v>
      </c>
      <c r="C620" s="12">
        <v>0.23305084745762711</v>
      </c>
      <c r="D620" s="11">
        <v>0.52118644067796616</v>
      </c>
      <c r="E620" s="12">
        <v>0.23728813559322029</v>
      </c>
      <c r="F620" s="11">
        <v>8.4745762711864406E-3</v>
      </c>
      <c r="G620" s="12">
        <v>55</v>
      </c>
      <c r="H620" s="11">
        <v>123</v>
      </c>
      <c r="I620" s="12">
        <v>56</v>
      </c>
      <c r="J620" s="11">
        <v>2</v>
      </c>
      <c r="K620" s="35">
        <v>236</v>
      </c>
      <c r="L620" s="80"/>
      <c r="M620" s="83"/>
      <c r="N620" s="13">
        <v>-0.41489577293396002</v>
      </c>
    </row>
    <row r="621" spans="1:14" x14ac:dyDescent="0.35">
      <c r="A621" s="89"/>
      <c r="B621" s="11" t="s">
        <v>380</v>
      </c>
      <c r="C621" s="12">
        <v>0.42278481012658231</v>
      </c>
      <c r="D621" s="11">
        <v>0.39240506329113922</v>
      </c>
      <c r="E621" s="12">
        <v>0.12911392405063291</v>
      </c>
      <c r="F621" s="11">
        <v>5.5696202531645568E-2</v>
      </c>
      <c r="G621" s="12">
        <v>167</v>
      </c>
      <c r="H621" s="11">
        <v>155</v>
      </c>
      <c r="I621" s="12">
        <v>51</v>
      </c>
      <c r="J621" s="11">
        <v>22</v>
      </c>
      <c r="K621" s="35">
        <v>395</v>
      </c>
      <c r="L621" s="80"/>
      <c r="M621" s="83"/>
      <c r="N621" s="13">
        <v>-5.66981695592403E-2</v>
      </c>
    </row>
    <row r="622" spans="1:14" x14ac:dyDescent="0.35">
      <c r="A622" s="89"/>
      <c r="B622" s="11" t="s">
        <v>11</v>
      </c>
      <c r="C622" s="12">
        <v>0.48677248677248669</v>
      </c>
      <c r="D622" s="11">
        <v>0.35802469135802473</v>
      </c>
      <c r="E622" s="12">
        <v>0.11816578483245151</v>
      </c>
      <c r="F622" s="11">
        <v>3.7037037037037028E-2</v>
      </c>
      <c r="G622" s="12">
        <v>276</v>
      </c>
      <c r="H622" s="11">
        <v>203</v>
      </c>
      <c r="I622" s="12">
        <v>67</v>
      </c>
      <c r="J622" s="11">
        <v>21</v>
      </c>
      <c r="K622" s="35">
        <v>567</v>
      </c>
      <c r="L622" s="80"/>
      <c r="M622" s="83"/>
      <c r="N622" s="13">
        <v>0.15499903261661499</v>
      </c>
    </row>
    <row r="623" spans="1:14" x14ac:dyDescent="0.35">
      <c r="A623" s="89"/>
      <c r="B623" s="11" t="s">
        <v>21</v>
      </c>
      <c r="C623" s="12">
        <v>0.41447368421052633</v>
      </c>
      <c r="D623" s="11">
        <v>0.35855263157894729</v>
      </c>
      <c r="E623" s="12">
        <v>0.16611842105263161</v>
      </c>
      <c r="F623" s="11">
        <v>6.0855263157894739E-2</v>
      </c>
      <c r="G623" s="12">
        <v>252</v>
      </c>
      <c r="H623" s="11">
        <v>218</v>
      </c>
      <c r="I623" s="12">
        <v>101</v>
      </c>
      <c r="J623" s="11">
        <v>37</v>
      </c>
      <c r="K623" s="35">
        <v>608</v>
      </c>
      <c r="L623" s="80"/>
      <c r="M623" s="83"/>
      <c r="N623" s="13">
        <v>0.16380748152732799</v>
      </c>
    </row>
    <row r="624" spans="1:14" ht="16" thickBot="1" x14ac:dyDescent="0.4">
      <c r="A624" s="90"/>
      <c r="B624" s="14" t="s">
        <v>381</v>
      </c>
      <c r="C624" s="15">
        <v>0.39880952380952378</v>
      </c>
      <c r="D624" s="14">
        <v>0.40476190476190482</v>
      </c>
      <c r="E624" s="15">
        <v>0.17559523809523811</v>
      </c>
      <c r="F624" s="14">
        <v>2.0833333333333329E-2</v>
      </c>
      <c r="G624" s="15">
        <v>134</v>
      </c>
      <c r="H624" s="14">
        <v>136</v>
      </c>
      <c r="I624" s="15">
        <v>59</v>
      </c>
      <c r="J624" s="14">
        <v>7</v>
      </c>
      <c r="K624" s="36">
        <v>336</v>
      </c>
      <c r="L624" s="81"/>
      <c r="M624" s="84"/>
      <c r="N624" s="16">
        <v>-4.1120748966932297E-2</v>
      </c>
    </row>
    <row r="625" spans="1:14" x14ac:dyDescent="0.35">
      <c r="A625" s="91" t="s">
        <v>470</v>
      </c>
      <c r="B625" s="17" t="s">
        <v>29</v>
      </c>
      <c r="C625" s="18">
        <v>0.47013487475915222</v>
      </c>
      <c r="D625" s="17">
        <v>0.41811175337186901</v>
      </c>
      <c r="E625" s="18">
        <v>3.8535645472061647E-2</v>
      </c>
      <c r="F625" s="17">
        <v>7.3217726396917149E-2</v>
      </c>
      <c r="G625" s="18">
        <v>244</v>
      </c>
      <c r="H625" s="17">
        <v>217</v>
      </c>
      <c r="I625" s="18">
        <v>20</v>
      </c>
      <c r="J625" s="17">
        <v>38</v>
      </c>
      <c r="K625" s="37">
        <v>519</v>
      </c>
      <c r="L625" s="76" t="s">
        <v>44</v>
      </c>
      <c r="M625" s="85">
        <v>-0.66560918092727706</v>
      </c>
      <c r="N625" s="19">
        <v>0.50145143270492598</v>
      </c>
    </row>
    <row r="626" spans="1:14" x14ac:dyDescent="0.35">
      <c r="A626" s="92"/>
      <c r="B626" s="20" t="s">
        <v>25</v>
      </c>
      <c r="C626" s="21">
        <v>0.56725146198830412</v>
      </c>
      <c r="D626" s="20">
        <v>0.35672514619883039</v>
      </c>
      <c r="E626" s="21">
        <v>6.725146198830409E-2</v>
      </c>
      <c r="F626" s="20">
        <v>8.771929824561403E-3</v>
      </c>
      <c r="G626" s="21">
        <v>194</v>
      </c>
      <c r="H626" s="20">
        <v>122</v>
      </c>
      <c r="I626" s="21">
        <v>23</v>
      </c>
      <c r="J626" s="20">
        <v>3</v>
      </c>
      <c r="K626" s="38">
        <v>342</v>
      </c>
      <c r="L626" s="77"/>
      <c r="M626" s="86"/>
      <c r="N626" s="22">
        <v>0.62445664405822798</v>
      </c>
    </row>
    <row r="627" spans="1:14" x14ac:dyDescent="0.35">
      <c r="A627" s="92"/>
      <c r="B627" s="20" t="s">
        <v>63</v>
      </c>
      <c r="C627" s="21">
        <v>0.51694915254237284</v>
      </c>
      <c r="D627" s="20">
        <v>0.26694915254237289</v>
      </c>
      <c r="E627" s="21">
        <v>0.18220338983050849</v>
      </c>
      <c r="F627" s="20">
        <v>3.3898305084745763E-2</v>
      </c>
      <c r="G627" s="21">
        <v>122</v>
      </c>
      <c r="H627" s="20">
        <v>63</v>
      </c>
      <c r="I627" s="21">
        <v>43</v>
      </c>
      <c r="J627" s="20">
        <v>8</v>
      </c>
      <c r="K627" s="38">
        <v>236</v>
      </c>
      <c r="L627" s="77"/>
      <c r="M627" s="86"/>
      <c r="N627" s="22">
        <v>9.3748353421688094E-2</v>
      </c>
    </row>
    <row r="628" spans="1:14" x14ac:dyDescent="0.35">
      <c r="A628" s="92"/>
      <c r="B628" s="20" t="s">
        <v>380</v>
      </c>
      <c r="C628" s="21">
        <v>0.70379746835443036</v>
      </c>
      <c r="D628" s="20">
        <v>0.22531645569620251</v>
      </c>
      <c r="E628" s="21">
        <v>6.0759493670886067E-2</v>
      </c>
      <c r="F628" s="20">
        <v>1.0126582278481009E-2</v>
      </c>
      <c r="G628" s="21">
        <v>278</v>
      </c>
      <c r="H628" s="20">
        <v>89</v>
      </c>
      <c r="I628" s="21">
        <v>24</v>
      </c>
      <c r="J628" s="20">
        <v>4</v>
      </c>
      <c r="K628" s="38">
        <v>395</v>
      </c>
      <c r="L628" s="77"/>
      <c r="M628" s="86"/>
      <c r="N628" s="22">
        <v>0.52613800764083896</v>
      </c>
    </row>
    <row r="629" spans="1:14" x14ac:dyDescent="0.35">
      <c r="A629" s="92"/>
      <c r="B629" s="20" t="s">
        <v>11</v>
      </c>
      <c r="C629" s="21">
        <v>0.8271604938271605</v>
      </c>
      <c r="D629" s="20">
        <v>0.14814814814814811</v>
      </c>
      <c r="E629" s="21">
        <v>2.469135802469136E-2</v>
      </c>
      <c r="F629" s="20">
        <v>0</v>
      </c>
      <c r="G629" s="21">
        <v>469</v>
      </c>
      <c r="H629" s="20">
        <v>84</v>
      </c>
      <c r="I629" s="21">
        <v>14</v>
      </c>
      <c r="J629" s="20">
        <v>0</v>
      </c>
      <c r="K629" s="38">
        <v>567</v>
      </c>
      <c r="L629" s="77"/>
      <c r="M629" s="86"/>
      <c r="N629" s="22">
        <v>0.93362730741500899</v>
      </c>
    </row>
    <row r="630" spans="1:14" x14ac:dyDescent="0.35">
      <c r="A630" s="92"/>
      <c r="B630" s="20" t="s">
        <v>21</v>
      </c>
      <c r="C630" s="21">
        <v>0.34046052631578949</v>
      </c>
      <c r="D630" s="20">
        <v>0.55263157894736847</v>
      </c>
      <c r="E630" s="21">
        <v>4.6052631578947373E-2</v>
      </c>
      <c r="F630" s="20">
        <v>6.0855263157894739E-2</v>
      </c>
      <c r="G630" s="21">
        <v>207</v>
      </c>
      <c r="H630" s="20">
        <v>336</v>
      </c>
      <c r="I630" s="21">
        <v>28</v>
      </c>
      <c r="J630" s="20">
        <v>37</v>
      </c>
      <c r="K630" s="38">
        <v>608</v>
      </c>
      <c r="L630" s="77"/>
      <c r="M630" s="86"/>
      <c r="N630" s="22">
        <v>0.70555567741393999</v>
      </c>
    </row>
    <row r="631" spans="1:14" ht="16" thickBot="1" x14ac:dyDescent="0.4">
      <c r="A631" s="93"/>
      <c r="B631" s="26" t="s">
        <v>381</v>
      </c>
      <c r="C631" s="27">
        <v>0.59226190476190477</v>
      </c>
      <c r="D631" s="26">
        <v>0.30952380952380948</v>
      </c>
      <c r="E631" s="27">
        <v>8.6309523809523808E-2</v>
      </c>
      <c r="F631" s="26">
        <v>1.1904761904761901E-2</v>
      </c>
      <c r="G631" s="27">
        <v>199</v>
      </c>
      <c r="H631" s="26">
        <v>104</v>
      </c>
      <c r="I631" s="27">
        <v>29</v>
      </c>
      <c r="J631" s="26">
        <v>4</v>
      </c>
      <c r="K631" s="39">
        <v>336</v>
      </c>
      <c r="L631" s="78"/>
      <c r="M631" s="87"/>
      <c r="N631" s="28">
        <v>0.49988043308258101</v>
      </c>
    </row>
    <row r="632" spans="1:14" x14ac:dyDescent="0.35">
      <c r="A632" s="88" t="s">
        <v>471</v>
      </c>
      <c r="B632" s="8" t="s">
        <v>29</v>
      </c>
      <c r="C632" s="9">
        <v>0.48940269749518311</v>
      </c>
      <c r="D632" s="8">
        <v>0.4238921001926782</v>
      </c>
      <c r="E632" s="9">
        <v>2.312138728323699E-2</v>
      </c>
      <c r="F632" s="8">
        <v>6.358381502890173E-2</v>
      </c>
      <c r="G632" s="9">
        <v>254</v>
      </c>
      <c r="H632" s="8">
        <v>220</v>
      </c>
      <c r="I632" s="9">
        <v>12</v>
      </c>
      <c r="J632" s="8">
        <v>33</v>
      </c>
      <c r="K632" s="34">
        <v>519</v>
      </c>
      <c r="L632" s="79" t="s">
        <v>19</v>
      </c>
      <c r="M632" s="82">
        <v>-0.56997334957122803</v>
      </c>
      <c r="N632" s="10">
        <v>0.42778074741363498</v>
      </c>
    </row>
    <row r="633" spans="1:14" x14ac:dyDescent="0.35">
      <c r="A633" s="89"/>
      <c r="B633" s="11" t="s">
        <v>25</v>
      </c>
      <c r="C633" s="12">
        <v>0.42397660818713451</v>
      </c>
      <c r="D633" s="11">
        <v>0.38304093567251463</v>
      </c>
      <c r="E633" s="12">
        <v>0.1812865497076023</v>
      </c>
      <c r="F633" s="11">
        <v>1.1695906432748541E-2</v>
      </c>
      <c r="G633" s="12">
        <v>145</v>
      </c>
      <c r="H633" s="11">
        <v>131</v>
      </c>
      <c r="I633" s="12">
        <v>62</v>
      </c>
      <c r="J633" s="11">
        <v>4</v>
      </c>
      <c r="K633" s="35">
        <v>342</v>
      </c>
      <c r="L633" s="80"/>
      <c r="M633" s="83"/>
      <c r="N633" s="13">
        <v>0.38980233669281</v>
      </c>
    </row>
    <row r="634" spans="1:14" x14ac:dyDescent="0.35">
      <c r="A634" s="89"/>
      <c r="B634" s="11" t="s">
        <v>63</v>
      </c>
      <c r="C634" s="12">
        <v>0.52542372881355937</v>
      </c>
      <c r="D634" s="11">
        <v>0.2711864406779661</v>
      </c>
      <c r="E634" s="12">
        <v>0.18220338983050849</v>
      </c>
      <c r="F634" s="11">
        <v>2.1186440677966101E-2</v>
      </c>
      <c r="G634" s="12">
        <v>124</v>
      </c>
      <c r="H634" s="11">
        <v>64</v>
      </c>
      <c r="I634" s="12">
        <v>43</v>
      </c>
      <c r="J634" s="11">
        <v>5</v>
      </c>
      <c r="K634" s="35">
        <v>236</v>
      </c>
      <c r="L634" s="80"/>
      <c r="M634" s="83"/>
      <c r="N634" s="13">
        <v>7.0976696908473996E-2</v>
      </c>
    </row>
    <row r="635" spans="1:14" x14ac:dyDescent="0.35">
      <c r="A635" s="89"/>
      <c r="B635" s="11" t="s">
        <v>380</v>
      </c>
      <c r="C635" s="12">
        <v>0.6936708860759494</v>
      </c>
      <c r="D635" s="11">
        <v>0.22531645569620251</v>
      </c>
      <c r="E635" s="12">
        <v>4.810126582278481E-2</v>
      </c>
      <c r="F635" s="11">
        <v>3.2911392405063293E-2</v>
      </c>
      <c r="G635" s="12">
        <v>274</v>
      </c>
      <c r="H635" s="11">
        <v>89</v>
      </c>
      <c r="I635" s="12">
        <v>19</v>
      </c>
      <c r="J635" s="11">
        <v>13</v>
      </c>
      <c r="K635" s="35">
        <v>395</v>
      </c>
      <c r="L635" s="80"/>
      <c r="M635" s="83"/>
      <c r="N635" s="13">
        <v>0.45969557762146002</v>
      </c>
    </row>
    <row r="636" spans="1:14" x14ac:dyDescent="0.35">
      <c r="A636" s="89"/>
      <c r="B636" s="11" t="s">
        <v>11</v>
      </c>
      <c r="C636" s="12">
        <v>0.82363315696649031</v>
      </c>
      <c r="D636" s="11">
        <v>0.1322751322751323</v>
      </c>
      <c r="E636" s="12">
        <v>2.9982363315696651E-2</v>
      </c>
      <c r="F636" s="11">
        <v>1.410934744268078E-2</v>
      </c>
      <c r="G636" s="12">
        <v>467</v>
      </c>
      <c r="H636" s="11">
        <v>75</v>
      </c>
      <c r="I636" s="12">
        <v>17</v>
      </c>
      <c r="J636" s="11">
        <v>8</v>
      </c>
      <c r="K636" s="35">
        <v>567</v>
      </c>
      <c r="L636" s="80"/>
      <c r="M636" s="83"/>
      <c r="N636" s="13">
        <v>0.726529181003571</v>
      </c>
    </row>
    <row r="637" spans="1:14" x14ac:dyDescent="0.35">
      <c r="A637" s="89"/>
      <c r="B637" s="11" t="s">
        <v>21</v>
      </c>
      <c r="C637" s="12">
        <v>0.34375</v>
      </c>
      <c r="D637" s="11">
        <v>0.55098684210526316</v>
      </c>
      <c r="E637" s="12">
        <v>6.4144736842105268E-2</v>
      </c>
      <c r="F637" s="11">
        <v>4.1118421052631582E-2</v>
      </c>
      <c r="G637" s="12">
        <v>209</v>
      </c>
      <c r="H637" s="11">
        <v>335</v>
      </c>
      <c r="I637" s="12">
        <v>39</v>
      </c>
      <c r="J637" s="11">
        <v>25</v>
      </c>
      <c r="K637" s="35">
        <v>608</v>
      </c>
      <c r="L637" s="80"/>
      <c r="M637" s="83"/>
      <c r="N637" s="13">
        <v>0.60839045047759999</v>
      </c>
    </row>
    <row r="638" spans="1:14" ht="16" thickBot="1" x14ac:dyDescent="0.4">
      <c r="A638" s="90"/>
      <c r="B638" s="14" t="s">
        <v>381</v>
      </c>
      <c r="C638" s="15">
        <v>0.53869047619047616</v>
      </c>
      <c r="D638" s="14">
        <v>0.29166666666666669</v>
      </c>
      <c r="E638" s="15">
        <v>0.14583333333333329</v>
      </c>
      <c r="F638" s="14">
        <v>2.3809523809523812E-2</v>
      </c>
      <c r="G638" s="15">
        <v>181</v>
      </c>
      <c r="H638" s="14">
        <v>98</v>
      </c>
      <c r="I638" s="15">
        <v>49</v>
      </c>
      <c r="J638" s="14">
        <v>8</v>
      </c>
      <c r="K638" s="36">
        <v>336</v>
      </c>
      <c r="L638" s="81"/>
      <c r="M638" s="84"/>
      <c r="N638" s="16">
        <v>0.43755573034286499</v>
      </c>
    </row>
    <row r="639" spans="1:14" x14ac:dyDescent="0.35">
      <c r="A639" s="91" t="s">
        <v>472</v>
      </c>
      <c r="B639" s="17" t="s">
        <v>29</v>
      </c>
      <c r="C639" s="18">
        <v>0.5703275529865125</v>
      </c>
      <c r="D639" s="17">
        <v>0.37957610789980728</v>
      </c>
      <c r="E639" s="18">
        <v>1.926782273603083E-2</v>
      </c>
      <c r="F639" s="17">
        <v>3.0828516377649329E-2</v>
      </c>
      <c r="G639" s="18">
        <v>296</v>
      </c>
      <c r="H639" s="17">
        <v>197</v>
      </c>
      <c r="I639" s="18">
        <v>10</v>
      </c>
      <c r="J639" s="17">
        <v>16</v>
      </c>
      <c r="K639" s="37">
        <v>519</v>
      </c>
      <c r="L639" s="76" t="s">
        <v>53</v>
      </c>
      <c r="M639" s="85">
        <v>-0.84219264984130904</v>
      </c>
      <c r="N639" s="19">
        <v>0.65861535072326705</v>
      </c>
    </row>
    <row r="640" spans="1:14" x14ac:dyDescent="0.35">
      <c r="A640" s="92"/>
      <c r="B640" s="20" t="s">
        <v>25</v>
      </c>
      <c r="C640" s="21">
        <v>0.67543859649122806</v>
      </c>
      <c r="D640" s="20">
        <v>0.22514619883040929</v>
      </c>
      <c r="E640" s="21">
        <v>2.3391812865497071E-2</v>
      </c>
      <c r="F640" s="20">
        <v>7.6023391812865493E-2</v>
      </c>
      <c r="G640" s="21">
        <v>231</v>
      </c>
      <c r="H640" s="20">
        <v>77</v>
      </c>
      <c r="I640" s="21">
        <v>8</v>
      </c>
      <c r="J640" s="20">
        <v>26</v>
      </c>
      <c r="K640" s="38">
        <v>342</v>
      </c>
      <c r="L640" s="77"/>
      <c r="M640" s="86"/>
      <c r="N640" s="22">
        <v>0.78894388675689697</v>
      </c>
    </row>
    <row r="641" spans="1:14" x14ac:dyDescent="0.35">
      <c r="A641" s="92"/>
      <c r="B641" s="20" t="s">
        <v>63</v>
      </c>
      <c r="C641" s="21">
        <v>0.72033898305084743</v>
      </c>
      <c r="D641" s="20">
        <v>0.13135593220338981</v>
      </c>
      <c r="E641" s="21">
        <v>3.3898305084745763E-2</v>
      </c>
      <c r="F641" s="20">
        <v>0.11440677966101689</v>
      </c>
      <c r="G641" s="21">
        <v>170</v>
      </c>
      <c r="H641" s="20">
        <v>31</v>
      </c>
      <c r="I641" s="21">
        <v>8</v>
      </c>
      <c r="J641" s="20">
        <v>27</v>
      </c>
      <c r="K641" s="38">
        <v>236</v>
      </c>
      <c r="L641" s="77"/>
      <c r="M641" s="86"/>
      <c r="N641" s="22">
        <v>0.97598141431808505</v>
      </c>
    </row>
    <row r="642" spans="1:14" x14ac:dyDescent="0.35">
      <c r="A642" s="92"/>
      <c r="B642" s="20" t="s">
        <v>380</v>
      </c>
      <c r="C642" s="21">
        <v>0.7443037974683544</v>
      </c>
      <c r="D642" s="20">
        <v>0.16455696202531639</v>
      </c>
      <c r="E642" s="21">
        <v>2.0253164556962029E-2</v>
      </c>
      <c r="F642" s="20">
        <v>7.0886075949367092E-2</v>
      </c>
      <c r="G642" s="21">
        <v>294</v>
      </c>
      <c r="H642" s="20">
        <v>65</v>
      </c>
      <c r="I642" s="21">
        <v>8</v>
      </c>
      <c r="J642" s="20">
        <v>28</v>
      </c>
      <c r="K642" s="38">
        <v>395</v>
      </c>
      <c r="L642" s="77"/>
      <c r="M642" s="86"/>
      <c r="N642" s="22">
        <v>0.92248159646987904</v>
      </c>
    </row>
    <row r="643" spans="1:14" x14ac:dyDescent="0.35">
      <c r="A643" s="92"/>
      <c r="B643" s="20" t="s">
        <v>11</v>
      </c>
      <c r="C643" s="21">
        <v>0.81128747795414458</v>
      </c>
      <c r="D643" s="20">
        <v>0.15873015873015869</v>
      </c>
      <c r="E643" s="21">
        <v>7.0546737213403876E-3</v>
      </c>
      <c r="F643" s="20">
        <v>2.292768959435626E-2</v>
      </c>
      <c r="G643" s="21">
        <v>460</v>
      </c>
      <c r="H643" s="20">
        <v>90</v>
      </c>
      <c r="I643" s="21">
        <v>4</v>
      </c>
      <c r="J643" s="20">
        <v>13</v>
      </c>
      <c r="K643" s="38">
        <v>567</v>
      </c>
      <c r="L643" s="77"/>
      <c r="M643" s="86"/>
      <c r="N643" s="22">
        <v>0.71770656108856201</v>
      </c>
    </row>
    <row r="644" spans="1:14" x14ac:dyDescent="0.35">
      <c r="A644" s="92"/>
      <c r="B644" s="20" t="s">
        <v>21</v>
      </c>
      <c r="C644" s="21">
        <v>0.43585526315789469</v>
      </c>
      <c r="D644" s="20">
        <v>0.41447368421052633</v>
      </c>
      <c r="E644" s="21">
        <v>8.2236842105263153E-3</v>
      </c>
      <c r="F644" s="20">
        <v>0.1414473684210526</v>
      </c>
      <c r="G644" s="21">
        <v>265</v>
      </c>
      <c r="H644" s="20">
        <v>252</v>
      </c>
      <c r="I644" s="21">
        <v>5</v>
      </c>
      <c r="J644" s="20">
        <v>86</v>
      </c>
      <c r="K644" s="38">
        <v>608</v>
      </c>
      <c r="L644" s="77"/>
      <c r="M644" s="86"/>
      <c r="N644" s="22">
        <v>0.86944746971130404</v>
      </c>
    </row>
    <row r="645" spans="1:14" ht="16" thickBot="1" x14ac:dyDescent="0.4">
      <c r="A645" s="93"/>
      <c r="B645" s="26" t="s">
        <v>381</v>
      </c>
      <c r="C645" s="27">
        <v>0.6785714285714286</v>
      </c>
      <c r="D645" s="26">
        <v>0.20535714285714279</v>
      </c>
      <c r="E645" s="27">
        <v>4.1666666666666657E-2</v>
      </c>
      <c r="F645" s="26">
        <v>7.4404761904761904E-2</v>
      </c>
      <c r="G645" s="27">
        <v>228</v>
      </c>
      <c r="H645" s="26">
        <v>69</v>
      </c>
      <c r="I645" s="27">
        <v>14</v>
      </c>
      <c r="J645" s="26">
        <v>25</v>
      </c>
      <c r="K645" s="39">
        <v>336</v>
      </c>
      <c r="L645" s="78"/>
      <c r="M645" s="87"/>
      <c r="N645" s="28">
        <v>0.62897121906280495</v>
      </c>
    </row>
    <row r="646" spans="1:14" x14ac:dyDescent="0.35">
      <c r="A646" s="88" t="s">
        <v>473</v>
      </c>
      <c r="B646" s="8" t="s">
        <v>29</v>
      </c>
      <c r="C646" s="9">
        <v>0.5741811175337187</v>
      </c>
      <c r="D646" s="8">
        <v>0.26396917148362242</v>
      </c>
      <c r="E646" s="9">
        <v>3.0828516377649329E-2</v>
      </c>
      <c r="F646" s="8">
        <v>0.13102119460500961</v>
      </c>
      <c r="G646" s="9">
        <v>298</v>
      </c>
      <c r="H646" s="8">
        <v>137</v>
      </c>
      <c r="I646" s="9">
        <v>16</v>
      </c>
      <c r="J646" s="8">
        <v>68</v>
      </c>
      <c r="K646" s="34">
        <v>519</v>
      </c>
      <c r="L646" s="79" t="s">
        <v>53</v>
      </c>
      <c r="M646" s="82">
        <v>-0.87040883302688599</v>
      </c>
      <c r="N646" s="10">
        <v>0.95726311206817605</v>
      </c>
    </row>
    <row r="647" spans="1:14" x14ac:dyDescent="0.35">
      <c r="A647" s="89"/>
      <c r="B647" s="11" t="s">
        <v>25</v>
      </c>
      <c r="C647" s="12">
        <v>0.63742690058479534</v>
      </c>
      <c r="D647" s="11">
        <v>0.23684210526315791</v>
      </c>
      <c r="E647" s="12">
        <v>9.0643274853801165E-2</v>
      </c>
      <c r="F647" s="11">
        <v>3.5087719298245612E-2</v>
      </c>
      <c r="G647" s="12">
        <v>218</v>
      </c>
      <c r="H647" s="11">
        <v>81</v>
      </c>
      <c r="I647" s="12">
        <v>31</v>
      </c>
      <c r="J647" s="11">
        <v>12</v>
      </c>
      <c r="K647" s="35">
        <v>342</v>
      </c>
      <c r="L647" s="80"/>
      <c r="M647" s="83"/>
      <c r="N647" s="13">
        <v>0.80347877740859996</v>
      </c>
    </row>
    <row r="648" spans="1:14" x14ac:dyDescent="0.35">
      <c r="A648" s="89"/>
      <c r="B648" s="11" t="s">
        <v>63</v>
      </c>
      <c r="C648" s="12">
        <v>0.71610169491525422</v>
      </c>
      <c r="D648" s="11">
        <v>0.1864406779661017</v>
      </c>
      <c r="E648" s="12">
        <v>6.7796610169491525E-2</v>
      </c>
      <c r="F648" s="11">
        <v>2.966101694915254E-2</v>
      </c>
      <c r="G648" s="12">
        <v>169</v>
      </c>
      <c r="H648" s="11">
        <v>44</v>
      </c>
      <c r="I648" s="12">
        <v>16</v>
      </c>
      <c r="J648" s="11">
        <v>7</v>
      </c>
      <c r="K648" s="35">
        <v>236</v>
      </c>
      <c r="L648" s="80"/>
      <c r="M648" s="83"/>
      <c r="N648" s="13">
        <v>0.37974616885185197</v>
      </c>
    </row>
    <row r="649" spans="1:14" x14ac:dyDescent="0.35">
      <c r="A649" s="89"/>
      <c r="B649" s="11" t="s">
        <v>380</v>
      </c>
      <c r="C649" s="12">
        <v>0.71898734177215184</v>
      </c>
      <c r="D649" s="11">
        <v>0.18734177215189871</v>
      </c>
      <c r="E649" s="12">
        <v>6.0759493670886067E-2</v>
      </c>
      <c r="F649" s="11">
        <v>3.2911392405063293E-2</v>
      </c>
      <c r="G649" s="12">
        <v>284</v>
      </c>
      <c r="H649" s="11">
        <v>74</v>
      </c>
      <c r="I649" s="12">
        <v>24</v>
      </c>
      <c r="J649" s="11">
        <v>13</v>
      </c>
      <c r="K649" s="35">
        <v>395</v>
      </c>
      <c r="L649" s="80"/>
      <c r="M649" s="83"/>
      <c r="N649" s="13">
        <v>0.64928495883941695</v>
      </c>
    </row>
    <row r="650" spans="1:14" x14ac:dyDescent="0.35">
      <c r="A650" s="89"/>
      <c r="B650" s="11" t="s">
        <v>11</v>
      </c>
      <c r="C650" s="12">
        <v>0.78130511463844798</v>
      </c>
      <c r="D650" s="11">
        <v>0.1287477954144621</v>
      </c>
      <c r="E650" s="12">
        <v>3.3509700176366841E-2</v>
      </c>
      <c r="F650" s="11">
        <v>5.6437389770723101E-2</v>
      </c>
      <c r="G650" s="12">
        <v>443</v>
      </c>
      <c r="H650" s="11">
        <v>73</v>
      </c>
      <c r="I650" s="12">
        <v>19</v>
      </c>
      <c r="J650" s="11">
        <v>32</v>
      </c>
      <c r="K650" s="35">
        <v>567</v>
      </c>
      <c r="L650" s="80"/>
      <c r="M650" s="83"/>
      <c r="N650" s="13">
        <v>0.809001564979553</v>
      </c>
    </row>
    <row r="651" spans="1:14" x14ac:dyDescent="0.35">
      <c r="A651" s="89"/>
      <c r="B651" s="11" t="s">
        <v>21</v>
      </c>
      <c r="C651" s="12">
        <v>0.39638157894736842</v>
      </c>
      <c r="D651" s="11">
        <v>0.45888157894736842</v>
      </c>
      <c r="E651" s="12">
        <v>3.453947368421053E-2</v>
      </c>
      <c r="F651" s="11">
        <v>0.1101973684210526</v>
      </c>
      <c r="G651" s="12">
        <v>241</v>
      </c>
      <c r="H651" s="11">
        <v>279</v>
      </c>
      <c r="I651" s="12">
        <v>21</v>
      </c>
      <c r="J651" s="11">
        <v>67</v>
      </c>
      <c r="K651" s="35">
        <v>608</v>
      </c>
      <c r="L651" s="80"/>
      <c r="M651" s="83"/>
      <c r="N651" s="13">
        <v>0.77735602855682395</v>
      </c>
    </row>
    <row r="652" spans="1:14" ht="16" thickBot="1" x14ac:dyDescent="0.4">
      <c r="A652" s="90"/>
      <c r="B652" s="14" t="s">
        <v>381</v>
      </c>
      <c r="C652" s="15">
        <v>0.6964285714285714</v>
      </c>
      <c r="D652" s="14">
        <v>0.20238095238095241</v>
      </c>
      <c r="E652" s="15">
        <v>8.3333333333333329E-2</v>
      </c>
      <c r="F652" s="14">
        <v>1.785714285714286E-2</v>
      </c>
      <c r="G652" s="15">
        <v>234</v>
      </c>
      <c r="H652" s="14">
        <v>68</v>
      </c>
      <c r="I652" s="15">
        <v>28</v>
      </c>
      <c r="J652" s="14">
        <v>6</v>
      </c>
      <c r="K652" s="36">
        <v>336</v>
      </c>
      <c r="L652" s="81"/>
      <c r="M652" s="84"/>
      <c r="N652" s="16">
        <v>0.78034394979476895</v>
      </c>
    </row>
    <row r="653" spans="1:14" x14ac:dyDescent="0.35">
      <c r="A653" s="91" t="s">
        <v>474</v>
      </c>
      <c r="B653" s="17" t="s">
        <v>29</v>
      </c>
      <c r="C653" s="18">
        <v>0.61078998073217727</v>
      </c>
      <c r="D653" s="17">
        <v>0.36994219653179189</v>
      </c>
      <c r="E653" s="18">
        <v>1.348747591522158E-2</v>
      </c>
      <c r="F653" s="17">
        <v>5.7803468208092483E-3</v>
      </c>
      <c r="G653" s="18">
        <v>317</v>
      </c>
      <c r="H653" s="17">
        <v>192</v>
      </c>
      <c r="I653" s="18">
        <v>7</v>
      </c>
      <c r="J653" s="17">
        <v>3</v>
      </c>
      <c r="K653" s="37">
        <v>519</v>
      </c>
      <c r="L653" s="76" t="s">
        <v>31</v>
      </c>
      <c r="M653" s="85">
        <v>-0.905600905418396</v>
      </c>
      <c r="N653" s="19">
        <v>0.91145396232605003</v>
      </c>
    </row>
    <row r="654" spans="1:14" x14ac:dyDescent="0.35">
      <c r="A654" s="92"/>
      <c r="B654" s="20" t="s">
        <v>25</v>
      </c>
      <c r="C654" s="21">
        <v>0.66374269005847952</v>
      </c>
      <c r="D654" s="20">
        <v>0.24561403508771931</v>
      </c>
      <c r="E654" s="21">
        <v>5.5555555555555552E-2</v>
      </c>
      <c r="F654" s="20">
        <v>3.5087719298245612E-2</v>
      </c>
      <c r="G654" s="21">
        <v>227</v>
      </c>
      <c r="H654" s="20">
        <v>84</v>
      </c>
      <c r="I654" s="21">
        <v>19</v>
      </c>
      <c r="J654" s="20">
        <v>12</v>
      </c>
      <c r="K654" s="38">
        <v>342</v>
      </c>
      <c r="L654" s="77"/>
      <c r="M654" s="86"/>
      <c r="N654" s="22">
        <v>0.80693858861923196</v>
      </c>
    </row>
    <row r="655" spans="1:14" x14ac:dyDescent="0.35">
      <c r="A655" s="92"/>
      <c r="B655" s="20" t="s">
        <v>63</v>
      </c>
      <c r="C655" s="21">
        <v>0.77966101694915257</v>
      </c>
      <c r="D655" s="20">
        <v>0.13983050847457629</v>
      </c>
      <c r="E655" s="21">
        <v>5.0847457627118647E-2</v>
      </c>
      <c r="F655" s="20">
        <v>2.966101694915254E-2</v>
      </c>
      <c r="G655" s="21">
        <v>184</v>
      </c>
      <c r="H655" s="20">
        <v>33</v>
      </c>
      <c r="I655" s="21">
        <v>12</v>
      </c>
      <c r="J655" s="20">
        <v>7</v>
      </c>
      <c r="K655" s="38">
        <v>236</v>
      </c>
      <c r="L655" s="77"/>
      <c r="M655" s="86"/>
      <c r="N655" s="22">
        <v>0.51496511697769198</v>
      </c>
    </row>
    <row r="656" spans="1:14" x14ac:dyDescent="0.35">
      <c r="A656" s="92"/>
      <c r="B656" s="20" t="s">
        <v>380</v>
      </c>
      <c r="C656" s="21">
        <v>0.76455696202531642</v>
      </c>
      <c r="D656" s="20">
        <v>0.14177215189873421</v>
      </c>
      <c r="E656" s="21">
        <v>6.0759493670886067E-2</v>
      </c>
      <c r="F656" s="20">
        <v>3.2911392405063293E-2</v>
      </c>
      <c r="G656" s="21">
        <v>302</v>
      </c>
      <c r="H656" s="20">
        <v>56</v>
      </c>
      <c r="I656" s="21">
        <v>24</v>
      </c>
      <c r="J656" s="20">
        <v>13</v>
      </c>
      <c r="K656" s="38">
        <v>395</v>
      </c>
      <c r="L656" s="77"/>
      <c r="M656" s="86"/>
      <c r="N656" s="22">
        <v>0.78913092613220204</v>
      </c>
    </row>
    <row r="657" spans="1:14" x14ac:dyDescent="0.35">
      <c r="A657" s="92"/>
      <c r="B657" s="20" t="s">
        <v>11</v>
      </c>
      <c r="C657" s="21">
        <v>0.78130511463844798</v>
      </c>
      <c r="D657" s="20">
        <v>0.12522045855379191</v>
      </c>
      <c r="E657" s="21">
        <v>5.9964726631393288E-2</v>
      </c>
      <c r="F657" s="20">
        <v>3.3509700176366841E-2</v>
      </c>
      <c r="G657" s="21">
        <v>443</v>
      </c>
      <c r="H657" s="20">
        <v>71</v>
      </c>
      <c r="I657" s="21">
        <v>34</v>
      </c>
      <c r="J657" s="20">
        <v>19</v>
      </c>
      <c r="K657" s="38">
        <v>567</v>
      </c>
      <c r="L657" s="77"/>
      <c r="M657" s="86"/>
      <c r="N657" s="22">
        <v>0.729547798633575</v>
      </c>
    </row>
    <row r="658" spans="1:14" x14ac:dyDescent="0.35">
      <c r="A658" s="92"/>
      <c r="B658" s="20" t="s">
        <v>21</v>
      </c>
      <c r="C658" s="21">
        <v>0.45394736842105271</v>
      </c>
      <c r="D658" s="20">
        <v>0.45230263157894729</v>
      </c>
      <c r="E658" s="21">
        <v>7.4013157894736836E-2</v>
      </c>
      <c r="F658" s="20">
        <v>1.973684210526316E-2</v>
      </c>
      <c r="G658" s="21">
        <v>276</v>
      </c>
      <c r="H658" s="20">
        <v>275</v>
      </c>
      <c r="I658" s="21">
        <v>45</v>
      </c>
      <c r="J658" s="20">
        <v>12</v>
      </c>
      <c r="K658" s="38">
        <v>608</v>
      </c>
      <c r="L658" s="77"/>
      <c r="M658" s="86"/>
      <c r="N658" s="22">
        <v>0.88839495182037398</v>
      </c>
    </row>
    <row r="659" spans="1:14" ht="16" thickBot="1" x14ac:dyDescent="0.4">
      <c r="A659" s="93"/>
      <c r="B659" s="26" t="s">
        <v>381</v>
      </c>
      <c r="C659" s="27">
        <v>0.69047619047619047</v>
      </c>
      <c r="D659" s="26">
        <v>0.23214285714285721</v>
      </c>
      <c r="E659" s="27">
        <v>7.4404761904761904E-2</v>
      </c>
      <c r="F659" s="26">
        <v>2.976190476190476E-3</v>
      </c>
      <c r="G659" s="27">
        <v>232</v>
      </c>
      <c r="H659" s="26">
        <v>78</v>
      </c>
      <c r="I659" s="27">
        <v>25</v>
      </c>
      <c r="J659" s="26">
        <v>1</v>
      </c>
      <c r="K659" s="39">
        <v>336</v>
      </c>
      <c r="L659" s="78"/>
      <c r="M659" s="87"/>
      <c r="N659" s="28">
        <v>0.96724873781204201</v>
      </c>
    </row>
    <row r="660" spans="1:14" x14ac:dyDescent="0.35">
      <c r="A660" s="88" t="s">
        <v>475</v>
      </c>
      <c r="B660" s="8" t="s">
        <v>29</v>
      </c>
      <c r="C660" s="9">
        <v>0.52601156069364163</v>
      </c>
      <c r="D660" s="8">
        <v>0.40077071290944122</v>
      </c>
      <c r="E660" s="9">
        <v>5.9730250481695571E-2</v>
      </c>
      <c r="F660" s="8">
        <v>1.348747591522158E-2</v>
      </c>
      <c r="G660" s="9">
        <v>273</v>
      </c>
      <c r="H660" s="8">
        <v>208</v>
      </c>
      <c r="I660" s="9">
        <v>31</v>
      </c>
      <c r="J660" s="8">
        <v>7</v>
      </c>
      <c r="K660" s="34">
        <v>519</v>
      </c>
      <c r="L660" s="79" t="s">
        <v>10</v>
      </c>
      <c r="M660" s="82">
        <v>-0.74322158098220803</v>
      </c>
      <c r="N660" s="10">
        <v>0.55645155906677202</v>
      </c>
    </row>
    <row r="661" spans="1:14" x14ac:dyDescent="0.35">
      <c r="A661" s="89"/>
      <c r="B661" s="11" t="s">
        <v>25</v>
      </c>
      <c r="C661" s="12">
        <v>0.54093567251461994</v>
      </c>
      <c r="D661" s="11">
        <v>0.33040935672514621</v>
      </c>
      <c r="E661" s="12">
        <v>0.11988304093567249</v>
      </c>
      <c r="F661" s="11">
        <v>8.771929824561403E-3</v>
      </c>
      <c r="G661" s="12">
        <v>185</v>
      </c>
      <c r="H661" s="11">
        <v>113</v>
      </c>
      <c r="I661" s="12">
        <v>41</v>
      </c>
      <c r="J661" s="11">
        <v>3</v>
      </c>
      <c r="K661" s="35">
        <v>342</v>
      </c>
      <c r="L661" s="80"/>
      <c r="M661" s="83"/>
      <c r="N661" s="13">
        <v>0.58505302667617798</v>
      </c>
    </row>
    <row r="662" spans="1:14" x14ac:dyDescent="0.35">
      <c r="A662" s="89"/>
      <c r="B662" s="11" t="s">
        <v>63</v>
      </c>
      <c r="C662" s="12">
        <v>0.56355932203389836</v>
      </c>
      <c r="D662" s="11">
        <v>0.11440677966101689</v>
      </c>
      <c r="E662" s="12">
        <v>0.13559322033898311</v>
      </c>
      <c r="F662" s="11">
        <v>0.1864406779661017</v>
      </c>
      <c r="G662" s="12">
        <v>133</v>
      </c>
      <c r="H662" s="11">
        <v>27</v>
      </c>
      <c r="I662" s="12">
        <v>32</v>
      </c>
      <c r="J662" s="11">
        <v>44</v>
      </c>
      <c r="K662" s="35">
        <v>236</v>
      </c>
      <c r="L662" s="80"/>
      <c r="M662" s="83"/>
      <c r="N662" s="13">
        <v>0.34545096755027799</v>
      </c>
    </row>
    <row r="663" spans="1:14" x14ac:dyDescent="0.35">
      <c r="A663" s="89"/>
      <c r="B663" s="11" t="s">
        <v>380</v>
      </c>
      <c r="C663" s="12">
        <v>0.66329113924050631</v>
      </c>
      <c r="D663" s="11">
        <v>0.14177215189873421</v>
      </c>
      <c r="E663" s="12">
        <v>8.1012658227848103E-2</v>
      </c>
      <c r="F663" s="11">
        <v>0.1139240506329114</v>
      </c>
      <c r="G663" s="12">
        <v>262</v>
      </c>
      <c r="H663" s="11">
        <v>56</v>
      </c>
      <c r="I663" s="12">
        <v>32</v>
      </c>
      <c r="J663" s="11">
        <v>45</v>
      </c>
      <c r="K663" s="35">
        <v>395</v>
      </c>
      <c r="L663" s="80"/>
      <c r="M663" s="83"/>
      <c r="N663" s="13">
        <v>0.761113822460175</v>
      </c>
    </row>
    <row r="664" spans="1:14" x14ac:dyDescent="0.35">
      <c r="A664" s="89"/>
      <c r="B664" s="11" t="s">
        <v>11</v>
      </c>
      <c r="C664" s="12">
        <v>0.61199294532627868</v>
      </c>
      <c r="D664" s="11">
        <v>8.8183421516754845E-2</v>
      </c>
      <c r="E664" s="12">
        <v>5.9964726631393288E-2</v>
      </c>
      <c r="F664" s="11">
        <v>0.23985890652557321</v>
      </c>
      <c r="G664" s="12">
        <v>347</v>
      </c>
      <c r="H664" s="11">
        <v>50</v>
      </c>
      <c r="I664" s="12">
        <v>34</v>
      </c>
      <c r="J664" s="11">
        <v>136</v>
      </c>
      <c r="K664" s="35">
        <v>567</v>
      </c>
      <c r="L664" s="80"/>
      <c r="M664" s="83"/>
      <c r="N664" s="13">
        <v>0.83362334966659501</v>
      </c>
    </row>
    <row r="665" spans="1:14" x14ac:dyDescent="0.35">
      <c r="A665" s="89"/>
      <c r="B665" s="11" t="s">
        <v>21</v>
      </c>
      <c r="C665" s="12">
        <v>0.37171052631578949</v>
      </c>
      <c r="D665" s="11">
        <v>0.55921052631578949</v>
      </c>
      <c r="E665" s="12">
        <v>4.6052631578947373E-2</v>
      </c>
      <c r="F665" s="11">
        <v>2.3026315789473679E-2</v>
      </c>
      <c r="G665" s="12">
        <v>226</v>
      </c>
      <c r="H665" s="11">
        <v>340</v>
      </c>
      <c r="I665" s="12">
        <v>28</v>
      </c>
      <c r="J665" s="11">
        <v>14</v>
      </c>
      <c r="K665" s="35">
        <v>608</v>
      </c>
      <c r="L665" s="80"/>
      <c r="M665" s="83"/>
      <c r="N665" s="13">
        <v>0.70687854290008501</v>
      </c>
    </row>
    <row r="666" spans="1:14" ht="16" thickBot="1" x14ac:dyDescent="0.4">
      <c r="A666" s="90"/>
      <c r="B666" s="14" t="s">
        <v>381</v>
      </c>
      <c r="C666" s="15">
        <v>0.49404761904761912</v>
      </c>
      <c r="D666" s="14">
        <v>0.19940476190476189</v>
      </c>
      <c r="E666" s="15">
        <v>0.1041666666666667</v>
      </c>
      <c r="F666" s="14">
        <v>0.20238095238095241</v>
      </c>
      <c r="G666" s="15">
        <v>166</v>
      </c>
      <c r="H666" s="14">
        <v>67</v>
      </c>
      <c r="I666" s="15">
        <v>35</v>
      </c>
      <c r="J666" s="14">
        <v>68</v>
      </c>
      <c r="K666" s="36">
        <v>336</v>
      </c>
      <c r="L666" s="81"/>
      <c r="M666" s="84"/>
      <c r="N666" s="16">
        <v>0.74691414833068803</v>
      </c>
    </row>
    <row r="667" spans="1:14" x14ac:dyDescent="0.35">
      <c r="A667" s="91" t="s">
        <v>476</v>
      </c>
      <c r="B667" s="17" t="s">
        <v>29</v>
      </c>
      <c r="C667" s="18">
        <v>0.52601156069364163</v>
      </c>
      <c r="D667" s="17">
        <v>0.4277456647398844</v>
      </c>
      <c r="E667" s="18">
        <v>1.926782273603083E-3</v>
      </c>
      <c r="F667" s="17">
        <v>4.4315992292870907E-2</v>
      </c>
      <c r="G667" s="18">
        <v>273</v>
      </c>
      <c r="H667" s="17">
        <v>222</v>
      </c>
      <c r="I667" s="18">
        <v>1</v>
      </c>
      <c r="J667" s="17">
        <v>23</v>
      </c>
      <c r="K667" s="37">
        <v>519</v>
      </c>
      <c r="L667" s="76" t="s">
        <v>67</v>
      </c>
      <c r="M667" s="85">
        <v>-0.86134344339370705</v>
      </c>
      <c r="N667" s="19">
        <v>0.61997079849243197</v>
      </c>
    </row>
    <row r="668" spans="1:14" x14ac:dyDescent="0.35">
      <c r="A668" s="92"/>
      <c r="B668" s="20" t="s">
        <v>25</v>
      </c>
      <c r="C668" s="21">
        <v>0.67251461988304095</v>
      </c>
      <c r="D668" s="20">
        <v>0.27192982456140352</v>
      </c>
      <c r="E668" s="21">
        <v>1.754385964912281E-2</v>
      </c>
      <c r="F668" s="20">
        <v>3.8011695906432753E-2</v>
      </c>
      <c r="G668" s="21">
        <v>230</v>
      </c>
      <c r="H668" s="20">
        <v>93</v>
      </c>
      <c r="I668" s="21">
        <v>6</v>
      </c>
      <c r="J668" s="20">
        <v>13</v>
      </c>
      <c r="K668" s="38">
        <v>342</v>
      </c>
      <c r="L668" s="77"/>
      <c r="M668" s="86"/>
      <c r="N668" s="22">
        <v>0.78557008504867598</v>
      </c>
    </row>
    <row r="669" spans="1:14" x14ac:dyDescent="0.35">
      <c r="A669" s="92"/>
      <c r="B669" s="20" t="s">
        <v>63</v>
      </c>
      <c r="C669" s="21">
        <v>0.77118644067796616</v>
      </c>
      <c r="D669" s="20">
        <v>0.19491525423728809</v>
      </c>
      <c r="E669" s="21">
        <v>8.4745762711864406E-3</v>
      </c>
      <c r="F669" s="20">
        <v>2.542372881355932E-2</v>
      </c>
      <c r="G669" s="21">
        <v>182</v>
      </c>
      <c r="H669" s="20">
        <v>46</v>
      </c>
      <c r="I669" s="21">
        <v>2</v>
      </c>
      <c r="J669" s="20">
        <v>6</v>
      </c>
      <c r="K669" s="38">
        <v>236</v>
      </c>
      <c r="L669" s="77"/>
      <c r="M669" s="86"/>
      <c r="N669" s="22">
        <v>0.68472677469253496</v>
      </c>
    </row>
    <row r="670" spans="1:14" x14ac:dyDescent="0.35">
      <c r="A670" s="92"/>
      <c r="B670" s="20" t="s">
        <v>380</v>
      </c>
      <c r="C670" s="21">
        <v>0.74936708860759493</v>
      </c>
      <c r="D670" s="20">
        <v>0.2</v>
      </c>
      <c r="E670" s="21">
        <v>2.5316455696202532E-3</v>
      </c>
      <c r="F670" s="20">
        <v>4.810126582278481E-2</v>
      </c>
      <c r="G670" s="21">
        <v>296</v>
      </c>
      <c r="H670" s="20">
        <v>79</v>
      </c>
      <c r="I670" s="21">
        <v>1</v>
      </c>
      <c r="J670" s="20">
        <v>19</v>
      </c>
      <c r="K670" s="38">
        <v>395</v>
      </c>
      <c r="L670" s="77"/>
      <c r="M670" s="86"/>
      <c r="N670" s="22">
        <v>0.78113120794296298</v>
      </c>
    </row>
    <row r="671" spans="1:14" x14ac:dyDescent="0.35">
      <c r="A671" s="92"/>
      <c r="B671" s="20" t="s">
        <v>11</v>
      </c>
      <c r="C671" s="21">
        <v>0.77601410934744264</v>
      </c>
      <c r="D671" s="20">
        <v>0.14109347442680781</v>
      </c>
      <c r="E671" s="21">
        <v>2.821869488536155E-2</v>
      </c>
      <c r="F671" s="20">
        <v>5.4673721340387997E-2</v>
      </c>
      <c r="G671" s="21">
        <v>440</v>
      </c>
      <c r="H671" s="20">
        <v>80</v>
      </c>
      <c r="I671" s="21">
        <v>16</v>
      </c>
      <c r="J671" s="20">
        <v>31</v>
      </c>
      <c r="K671" s="38">
        <v>567</v>
      </c>
      <c r="L671" s="77"/>
      <c r="M671" s="86"/>
      <c r="N671" s="22">
        <v>0.68696439266204801</v>
      </c>
    </row>
    <row r="672" spans="1:14" x14ac:dyDescent="0.35">
      <c r="A672" s="92"/>
      <c r="B672" s="20" t="s">
        <v>21</v>
      </c>
      <c r="C672" s="21">
        <v>0.38815789473684209</v>
      </c>
      <c r="D672" s="20">
        <v>0.54934210526315785</v>
      </c>
      <c r="E672" s="21">
        <v>9.8684210526315784E-3</v>
      </c>
      <c r="F672" s="20">
        <v>5.2631578947368418E-2</v>
      </c>
      <c r="G672" s="21">
        <v>236</v>
      </c>
      <c r="H672" s="20">
        <v>334</v>
      </c>
      <c r="I672" s="21">
        <v>6</v>
      </c>
      <c r="J672" s="20">
        <v>32</v>
      </c>
      <c r="K672" s="38">
        <v>608</v>
      </c>
      <c r="L672" s="77"/>
      <c r="M672" s="86"/>
      <c r="N672" s="22">
        <v>0.95598942041397095</v>
      </c>
    </row>
    <row r="673" spans="1:14" ht="16" thickBot="1" x14ac:dyDescent="0.4">
      <c r="A673" s="93"/>
      <c r="B673" s="26" t="s">
        <v>381</v>
      </c>
      <c r="C673" s="27">
        <v>0.6517857142857143</v>
      </c>
      <c r="D673" s="26">
        <v>0.26488095238095238</v>
      </c>
      <c r="E673" s="27">
        <v>4.1666666666666657E-2</v>
      </c>
      <c r="F673" s="26">
        <v>4.1666666666666657E-2</v>
      </c>
      <c r="G673" s="27">
        <v>219</v>
      </c>
      <c r="H673" s="26">
        <v>89</v>
      </c>
      <c r="I673" s="27">
        <v>14</v>
      </c>
      <c r="J673" s="26">
        <v>14</v>
      </c>
      <c r="K673" s="39">
        <v>336</v>
      </c>
      <c r="L673" s="78"/>
      <c r="M673" s="87"/>
      <c r="N673" s="28">
        <v>0.78451502323150601</v>
      </c>
    </row>
    <row r="674" spans="1:14" x14ac:dyDescent="0.35">
      <c r="A674" s="88" t="s">
        <v>477</v>
      </c>
      <c r="B674" s="8" t="s">
        <v>29</v>
      </c>
      <c r="C674" s="9">
        <v>0.56069364161849711</v>
      </c>
      <c r="D674" s="8">
        <v>0.31213872832369938</v>
      </c>
      <c r="E674" s="9">
        <v>3.8535645472061661E-3</v>
      </c>
      <c r="F674" s="8">
        <v>0.1233140655105973</v>
      </c>
      <c r="G674" s="9">
        <v>291</v>
      </c>
      <c r="H674" s="8">
        <v>162</v>
      </c>
      <c r="I674" s="9">
        <v>2</v>
      </c>
      <c r="J674" s="8">
        <v>64</v>
      </c>
      <c r="K674" s="34">
        <v>519</v>
      </c>
      <c r="L674" s="79" t="s">
        <v>10</v>
      </c>
      <c r="M674" s="82">
        <v>-0.91333585977554299</v>
      </c>
      <c r="N674" s="10">
        <v>0.89705669879913297</v>
      </c>
    </row>
    <row r="675" spans="1:14" x14ac:dyDescent="0.35">
      <c r="A675" s="89"/>
      <c r="B675" s="11" t="s">
        <v>25</v>
      </c>
      <c r="C675" s="12">
        <v>0.54970760233918126</v>
      </c>
      <c r="D675" s="11">
        <v>0.2807017543859649</v>
      </c>
      <c r="E675" s="12">
        <v>1.754385964912281E-2</v>
      </c>
      <c r="F675" s="11">
        <v>0.15204678362573101</v>
      </c>
      <c r="G675" s="12">
        <v>188</v>
      </c>
      <c r="H675" s="11">
        <v>96</v>
      </c>
      <c r="I675" s="12">
        <v>6</v>
      </c>
      <c r="J675" s="11">
        <v>52</v>
      </c>
      <c r="K675" s="35">
        <v>342</v>
      </c>
      <c r="L675" s="80"/>
      <c r="M675" s="83"/>
      <c r="N675" s="13">
        <v>0.82670807838439897</v>
      </c>
    </row>
    <row r="676" spans="1:14" x14ac:dyDescent="0.35">
      <c r="A676" s="89"/>
      <c r="B676" s="11" t="s">
        <v>63</v>
      </c>
      <c r="C676" s="12">
        <v>0.74152542372881358</v>
      </c>
      <c r="D676" s="11">
        <v>0.17372881355932199</v>
      </c>
      <c r="E676" s="12">
        <v>1.271186440677966E-2</v>
      </c>
      <c r="F676" s="11">
        <v>7.2033898305084748E-2</v>
      </c>
      <c r="G676" s="12">
        <v>175</v>
      </c>
      <c r="H676" s="11">
        <v>41</v>
      </c>
      <c r="I676" s="12">
        <v>3</v>
      </c>
      <c r="J676" s="11">
        <v>17</v>
      </c>
      <c r="K676" s="35">
        <v>236</v>
      </c>
      <c r="L676" s="80"/>
      <c r="M676" s="83"/>
      <c r="N676" s="13">
        <v>0.43305042386054998</v>
      </c>
    </row>
    <row r="677" spans="1:14" x14ac:dyDescent="0.35">
      <c r="A677" s="89"/>
      <c r="B677" s="11" t="s">
        <v>380</v>
      </c>
      <c r="C677" s="12">
        <v>0.76202531645569616</v>
      </c>
      <c r="D677" s="11">
        <v>0.20253164556962031</v>
      </c>
      <c r="E677" s="12">
        <v>3.037974683544304E-2</v>
      </c>
      <c r="F677" s="11">
        <v>5.0632911392405064E-3</v>
      </c>
      <c r="G677" s="12">
        <v>301</v>
      </c>
      <c r="H677" s="11">
        <v>80</v>
      </c>
      <c r="I677" s="12">
        <v>12</v>
      </c>
      <c r="J677" s="11">
        <v>2</v>
      </c>
      <c r="K677" s="35">
        <v>395</v>
      </c>
      <c r="L677" s="80"/>
      <c r="M677" s="83"/>
      <c r="N677" s="13">
        <v>0.88150513172149703</v>
      </c>
    </row>
    <row r="678" spans="1:14" x14ac:dyDescent="0.35">
      <c r="A678" s="89"/>
      <c r="B678" s="11" t="s">
        <v>11</v>
      </c>
      <c r="C678" s="12">
        <v>0.75661375661375663</v>
      </c>
      <c r="D678" s="11">
        <v>0.19576719576719581</v>
      </c>
      <c r="E678" s="12">
        <v>1.410934744268078E-2</v>
      </c>
      <c r="F678" s="11">
        <v>3.3509700176366841E-2</v>
      </c>
      <c r="G678" s="12">
        <v>429</v>
      </c>
      <c r="H678" s="11">
        <v>111</v>
      </c>
      <c r="I678" s="12">
        <v>8</v>
      </c>
      <c r="J678" s="11">
        <v>19</v>
      </c>
      <c r="K678" s="35">
        <v>567</v>
      </c>
      <c r="L678" s="80"/>
      <c r="M678" s="83"/>
      <c r="N678" s="13">
        <v>0.74465566873550404</v>
      </c>
    </row>
    <row r="679" spans="1:14" x14ac:dyDescent="0.35">
      <c r="A679" s="89"/>
      <c r="B679" s="11" t="s">
        <v>21</v>
      </c>
      <c r="C679" s="12">
        <v>0.42927631578947367</v>
      </c>
      <c r="D679" s="11">
        <v>0.45723684210526322</v>
      </c>
      <c r="E679" s="12">
        <v>1.6447368421052631E-3</v>
      </c>
      <c r="F679" s="11">
        <v>0.1118421052631579</v>
      </c>
      <c r="G679" s="12">
        <v>261</v>
      </c>
      <c r="H679" s="11">
        <v>278</v>
      </c>
      <c r="I679" s="12">
        <v>1</v>
      </c>
      <c r="J679" s="11">
        <v>68</v>
      </c>
      <c r="K679" s="35">
        <v>608</v>
      </c>
      <c r="L679" s="80"/>
      <c r="M679" s="83"/>
      <c r="N679" s="13">
        <v>0.93135946989059404</v>
      </c>
    </row>
    <row r="680" spans="1:14" ht="16" thickBot="1" x14ac:dyDescent="0.4">
      <c r="A680" s="90"/>
      <c r="B680" s="14" t="s">
        <v>381</v>
      </c>
      <c r="C680" s="15">
        <v>0.625</v>
      </c>
      <c r="D680" s="14">
        <v>0.25595238095238088</v>
      </c>
      <c r="E680" s="15">
        <v>4.7619047619047623E-2</v>
      </c>
      <c r="F680" s="14">
        <v>7.1428571428571425E-2</v>
      </c>
      <c r="G680" s="15">
        <v>210</v>
      </c>
      <c r="H680" s="14">
        <v>86</v>
      </c>
      <c r="I680" s="15">
        <v>16</v>
      </c>
      <c r="J680" s="14">
        <v>24</v>
      </c>
      <c r="K680" s="36">
        <v>336</v>
      </c>
      <c r="L680" s="81"/>
      <c r="M680" s="84"/>
      <c r="N680" s="16">
        <v>0.83038276433944702</v>
      </c>
    </row>
    <row r="681" spans="1:14" x14ac:dyDescent="0.35">
      <c r="A681" s="91" t="s">
        <v>478</v>
      </c>
      <c r="B681" s="17" t="s">
        <v>29</v>
      </c>
      <c r="C681" s="18">
        <v>0.53564547206165702</v>
      </c>
      <c r="D681" s="17">
        <v>0.45664739884393057</v>
      </c>
      <c r="E681" s="18">
        <v>1.926782273603083E-3</v>
      </c>
      <c r="F681" s="17">
        <v>5.7803468208092483E-3</v>
      </c>
      <c r="G681" s="18">
        <v>278</v>
      </c>
      <c r="H681" s="17">
        <v>237</v>
      </c>
      <c r="I681" s="18">
        <v>1</v>
      </c>
      <c r="J681" s="17">
        <v>3</v>
      </c>
      <c r="K681" s="37">
        <v>519</v>
      </c>
      <c r="L681" s="76" t="s">
        <v>28</v>
      </c>
      <c r="M681" s="85">
        <v>-0.83518612384796098</v>
      </c>
      <c r="N681" s="19">
        <v>0.58886528015136697</v>
      </c>
    </row>
    <row r="682" spans="1:14" x14ac:dyDescent="0.35">
      <c r="A682" s="92"/>
      <c r="B682" s="20" t="s">
        <v>25</v>
      </c>
      <c r="C682" s="21">
        <v>0.66374269005847952</v>
      </c>
      <c r="D682" s="20">
        <v>0.27777777777777779</v>
      </c>
      <c r="E682" s="21">
        <v>4.0935672514619881E-2</v>
      </c>
      <c r="F682" s="20">
        <v>1.754385964912281E-2</v>
      </c>
      <c r="G682" s="21">
        <v>227</v>
      </c>
      <c r="H682" s="20">
        <v>95</v>
      </c>
      <c r="I682" s="21">
        <v>14</v>
      </c>
      <c r="J682" s="20">
        <v>6</v>
      </c>
      <c r="K682" s="38">
        <v>342</v>
      </c>
      <c r="L682" s="77"/>
      <c r="M682" s="86"/>
      <c r="N682" s="22">
        <v>0.77789074182510398</v>
      </c>
    </row>
    <row r="683" spans="1:14" x14ac:dyDescent="0.35">
      <c r="A683" s="92"/>
      <c r="B683" s="20" t="s">
        <v>63</v>
      </c>
      <c r="C683" s="21">
        <v>0.69067796610169496</v>
      </c>
      <c r="D683" s="20">
        <v>0.26694915254237289</v>
      </c>
      <c r="E683" s="21">
        <v>1.271186440677966E-2</v>
      </c>
      <c r="F683" s="20">
        <v>2.966101694915254E-2</v>
      </c>
      <c r="G683" s="21">
        <v>163</v>
      </c>
      <c r="H683" s="20">
        <v>63</v>
      </c>
      <c r="I683" s="21">
        <v>3</v>
      </c>
      <c r="J683" s="20">
        <v>7</v>
      </c>
      <c r="K683" s="38">
        <v>236</v>
      </c>
      <c r="L683" s="77"/>
      <c r="M683" s="86"/>
      <c r="N683" s="22">
        <v>0.24182420969009399</v>
      </c>
    </row>
    <row r="684" spans="1:14" x14ac:dyDescent="0.35">
      <c r="A684" s="92"/>
      <c r="B684" s="20" t="s">
        <v>380</v>
      </c>
      <c r="C684" s="21">
        <v>0.78481012658227844</v>
      </c>
      <c r="D684" s="20">
        <v>0.17721518987341769</v>
      </c>
      <c r="E684" s="21">
        <v>3.7974683544303799E-2</v>
      </c>
      <c r="F684" s="20">
        <v>0</v>
      </c>
      <c r="G684" s="21">
        <v>310</v>
      </c>
      <c r="H684" s="20">
        <v>70</v>
      </c>
      <c r="I684" s="21">
        <v>15</v>
      </c>
      <c r="J684" s="20">
        <v>0</v>
      </c>
      <c r="K684" s="38">
        <v>395</v>
      </c>
      <c r="L684" s="77"/>
      <c r="M684" s="86"/>
      <c r="N684" s="22">
        <v>0.74988406896591198</v>
      </c>
    </row>
    <row r="685" spans="1:14" x14ac:dyDescent="0.35">
      <c r="A685" s="92"/>
      <c r="B685" s="20" t="s">
        <v>11</v>
      </c>
      <c r="C685" s="21">
        <v>0.83421516754850089</v>
      </c>
      <c r="D685" s="20">
        <v>0.15873015873015869</v>
      </c>
      <c r="E685" s="21">
        <v>3.5273368606701938E-3</v>
      </c>
      <c r="F685" s="20">
        <v>3.5273368606701938E-3</v>
      </c>
      <c r="G685" s="21">
        <v>473</v>
      </c>
      <c r="H685" s="20">
        <v>90</v>
      </c>
      <c r="I685" s="21">
        <v>2</v>
      </c>
      <c r="J685" s="20">
        <v>2</v>
      </c>
      <c r="K685" s="38">
        <v>567</v>
      </c>
      <c r="L685" s="77"/>
      <c r="M685" s="86"/>
      <c r="N685" s="22">
        <v>0.99433970451355003</v>
      </c>
    </row>
    <row r="686" spans="1:14" x14ac:dyDescent="0.35">
      <c r="A686" s="92"/>
      <c r="B686" s="20" t="s">
        <v>21</v>
      </c>
      <c r="C686" s="21">
        <v>0.38486842105263158</v>
      </c>
      <c r="D686" s="20">
        <v>0.55592105263157898</v>
      </c>
      <c r="E686" s="21">
        <v>2.796052631578947E-2</v>
      </c>
      <c r="F686" s="20">
        <v>3.125E-2</v>
      </c>
      <c r="G686" s="21">
        <v>234</v>
      </c>
      <c r="H686" s="20">
        <v>338</v>
      </c>
      <c r="I686" s="21">
        <v>17</v>
      </c>
      <c r="J686" s="20">
        <v>19</v>
      </c>
      <c r="K686" s="38">
        <v>608</v>
      </c>
      <c r="L686" s="77"/>
      <c r="M686" s="86"/>
      <c r="N686" s="22">
        <v>0.88175308704376198</v>
      </c>
    </row>
    <row r="687" spans="1:14" ht="16" thickBot="1" x14ac:dyDescent="0.4">
      <c r="A687" s="93"/>
      <c r="B687" s="26" t="s">
        <v>381</v>
      </c>
      <c r="C687" s="27">
        <v>0.70238095238095233</v>
      </c>
      <c r="D687" s="26">
        <v>0.24702380952380951</v>
      </c>
      <c r="E687" s="27">
        <v>4.1666666666666657E-2</v>
      </c>
      <c r="F687" s="26">
        <v>8.9285714285714281E-3</v>
      </c>
      <c r="G687" s="27">
        <v>236</v>
      </c>
      <c r="H687" s="26">
        <v>83</v>
      </c>
      <c r="I687" s="27">
        <v>14</v>
      </c>
      <c r="J687" s="26">
        <v>3</v>
      </c>
      <c r="K687" s="39">
        <v>336</v>
      </c>
      <c r="L687" s="78"/>
      <c r="M687" s="87"/>
      <c r="N687" s="28">
        <v>0.87468451261520397</v>
      </c>
    </row>
    <row r="688" spans="1:14" x14ac:dyDescent="0.35">
      <c r="A688" s="88" t="s">
        <v>479</v>
      </c>
      <c r="B688" s="8" t="s">
        <v>29</v>
      </c>
      <c r="C688" s="9">
        <v>0.50481695568400775</v>
      </c>
      <c r="D688" s="8">
        <v>0.45086705202312138</v>
      </c>
      <c r="E688" s="9">
        <v>2.6974951830443159E-2</v>
      </c>
      <c r="F688" s="8">
        <v>1.734104046242774E-2</v>
      </c>
      <c r="G688" s="9">
        <v>262</v>
      </c>
      <c r="H688" s="8">
        <v>234</v>
      </c>
      <c r="I688" s="9">
        <v>14</v>
      </c>
      <c r="J688" s="8">
        <v>9</v>
      </c>
      <c r="K688" s="34">
        <v>519</v>
      </c>
      <c r="L688" s="79" t="s">
        <v>15</v>
      </c>
      <c r="M688" s="82">
        <v>-0.40364468097686801</v>
      </c>
      <c r="N688" s="10">
        <v>0.23832997679710399</v>
      </c>
    </row>
    <row r="689" spans="1:14" x14ac:dyDescent="0.35">
      <c r="A689" s="89"/>
      <c r="B689" s="11" t="s">
        <v>25</v>
      </c>
      <c r="C689" s="12">
        <v>0.61695906432748537</v>
      </c>
      <c r="D689" s="11">
        <v>0.34795321637426901</v>
      </c>
      <c r="E689" s="12">
        <v>1.754385964912281E-2</v>
      </c>
      <c r="F689" s="11">
        <v>1.754385964912281E-2</v>
      </c>
      <c r="G689" s="12">
        <v>211</v>
      </c>
      <c r="H689" s="11">
        <v>119</v>
      </c>
      <c r="I689" s="12">
        <v>6</v>
      </c>
      <c r="J689" s="11">
        <v>6</v>
      </c>
      <c r="K689" s="35">
        <v>342</v>
      </c>
      <c r="L689" s="80"/>
      <c r="M689" s="83"/>
      <c r="N689" s="13">
        <v>0.46188580989837602</v>
      </c>
    </row>
    <row r="690" spans="1:14" x14ac:dyDescent="0.35">
      <c r="A690" s="89"/>
      <c r="B690" s="11" t="s">
        <v>63</v>
      </c>
      <c r="C690" s="12">
        <v>0.54661016949152541</v>
      </c>
      <c r="D690" s="11">
        <v>0.21186440677966101</v>
      </c>
      <c r="E690" s="12">
        <v>7.2033898305084748E-2</v>
      </c>
      <c r="F690" s="11">
        <v>0.16949152542372881</v>
      </c>
      <c r="G690" s="12">
        <v>129</v>
      </c>
      <c r="H690" s="11">
        <v>50</v>
      </c>
      <c r="I690" s="12">
        <v>17</v>
      </c>
      <c r="J690" s="11">
        <v>40</v>
      </c>
      <c r="K690" s="35">
        <v>236</v>
      </c>
      <c r="L690" s="80"/>
      <c r="M690" s="83"/>
      <c r="N690" s="13">
        <v>3.1926680356264101E-2</v>
      </c>
    </row>
    <row r="691" spans="1:14" x14ac:dyDescent="0.35">
      <c r="A691" s="89"/>
      <c r="B691" s="11" t="s">
        <v>380</v>
      </c>
      <c r="C691" s="12">
        <v>0.72658227848101264</v>
      </c>
      <c r="D691" s="11">
        <v>0.21012658227848099</v>
      </c>
      <c r="E691" s="12">
        <v>3.7974683544303799E-2</v>
      </c>
      <c r="F691" s="11">
        <v>2.5316455696202531E-2</v>
      </c>
      <c r="G691" s="12">
        <v>287</v>
      </c>
      <c r="H691" s="11">
        <v>83</v>
      </c>
      <c r="I691" s="12">
        <v>15</v>
      </c>
      <c r="J691" s="11">
        <v>10</v>
      </c>
      <c r="K691" s="35">
        <v>395</v>
      </c>
      <c r="L691" s="80"/>
      <c r="M691" s="83"/>
      <c r="N691" s="13">
        <v>0.35760018229484603</v>
      </c>
    </row>
    <row r="692" spans="1:14" x14ac:dyDescent="0.35">
      <c r="A692" s="89"/>
      <c r="B692" s="11" t="s">
        <v>11</v>
      </c>
      <c r="C692" s="12">
        <v>0.59259259259259256</v>
      </c>
      <c r="D692" s="11">
        <v>0.24691358024691359</v>
      </c>
      <c r="E692" s="12">
        <v>3.5273368606701938E-2</v>
      </c>
      <c r="F692" s="11">
        <v>0.12522045855379191</v>
      </c>
      <c r="G692" s="12">
        <v>336</v>
      </c>
      <c r="H692" s="11">
        <v>140</v>
      </c>
      <c r="I692" s="12">
        <v>20</v>
      </c>
      <c r="J692" s="11">
        <v>71</v>
      </c>
      <c r="K692" s="35">
        <v>567</v>
      </c>
      <c r="L692" s="80"/>
      <c r="M692" s="83"/>
      <c r="N692" s="13">
        <v>0.377695202827454</v>
      </c>
    </row>
    <row r="693" spans="1:14" x14ac:dyDescent="0.35">
      <c r="A693" s="89"/>
      <c r="B693" s="11" t="s">
        <v>21</v>
      </c>
      <c r="C693" s="12">
        <v>0.52138157894736847</v>
      </c>
      <c r="D693" s="11">
        <v>0.35526315789473678</v>
      </c>
      <c r="E693" s="12">
        <v>3.453947368421053E-2</v>
      </c>
      <c r="F693" s="11">
        <v>8.8815789473684209E-2</v>
      </c>
      <c r="G693" s="12">
        <v>317</v>
      </c>
      <c r="H693" s="11">
        <v>216</v>
      </c>
      <c r="I693" s="12">
        <v>21</v>
      </c>
      <c r="J693" s="11">
        <v>54</v>
      </c>
      <c r="K693" s="35">
        <v>608</v>
      </c>
      <c r="L693" s="80"/>
      <c r="M693" s="83"/>
      <c r="N693" s="13">
        <v>0.325046896934509</v>
      </c>
    </row>
    <row r="694" spans="1:14" ht="16" thickBot="1" x14ac:dyDescent="0.4">
      <c r="A694" s="90"/>
      <c r="B694" s="14" t="s">
        <v>381</v>
      </c>
      <c r="C694" s="15">
        <v>0.69345238095238093</v>
      </c>
      <c r="D694" s="14">
        <v>0.25297619047619052</v>
      </c>
      <c r="E694" s="15">
        <v>1.488095238095238E-2</v>
      </c>
      <c r="F694" s="14">
        <v>3.8690476190476192E-2</v>
      </c>
      <c r="G694" s="15">
        <v>233</v>
      </c>
      <c r="H694" s="14">
        <v>85</v>
      </c>
      <c r="I694" s="15">
        <v>5</v>
      </c>
      <c r="J694" s="14">
        <v>13</v>
      </c>
      <c r="K694" s="36">
        <v>336</v>
      </c>
      <c r="L694" s="81"/>
      <c r="M694" s="84"/>
      <c r="N694" s="16">
        <v>0.38332635164260898</v>
      </c>
    </row>
    <row r="695" spans="1:14" x14ac:dyDescent="0.35">
      <c r="A695" s="91" t="s">
        <v>480</v>
      </c>
      <c r="B695" s="17" t="s">
        <v>29</v>
      </c>
      <c r="C695" s="18">
        <v>0.52793834296724473</v>
      </c>
      <c r="D695" s="17">
        <v>0.31984585741811178</v>
      </c>
      <c r="E695" s="18">
        <v>6.7437379576107903E-2</v>
      </c>
      <c r="F695" s="17">
        <v>8.477842003853564E-2</v>
      </c>
      <c r="G695" s="18">
        <v>274</v>
      </c>
      <c r="H695" s="17">
        <v>166</v>
      </c>
      <c r="I695" s="18">
        <v>35</v>
      </c>
      <c r="J695" s="17">
        <v>44</v>
      </c>
      <c r="K695" s="37">
        <v>519</v>
      </c>
      <c r="L695" s="76" t="s">
        <v>10</v>
      </c>
      <c r="M695" s="85">
        <v>-0.83979970216751099</v>
      </c>
      <c r="N695" s="19">
        <v>0.57272577285766602</v>
      </c>
    </row>
    <row r="696" spans="1:14" x14ac:dyDescent="0.35">
      <c r="A696" s="92"/>
      <c r="B696" s="20" t="s">
        <v>25</v>
      </c>
      <c r="C696" s="21">
        <v>0.54970760233918126</v>
      </c>
      <c r="D696" s="20">
        <v>0.18421052631578949</v>
      </c>
      <c r="E696" s="21">
        <v>0.21345029239766081</v>
      </c>
      <c r="F696" s="20">
        <v>5.2631578947368418E-2</v>
      </c>
      <c r="G696" s="21">
        <v>188</v>
      </c>
      <c r="H696" s="20">
        <v>63</v>
      </c>
      <c r="I696" s="21">
        <v>73</v>
      </c>
      <c r="J696" s="20">
        <v>18</v>
      </c>
      <c r="K696" s="38">
        <v>342</v>
      </c>
      <c r="L696" s="77"/>
      <c r="M696" s="86"/>
      <c r="N696" s="22">
        <v>0.92760062217712402</v>
      </c>
    </row>
    <row r="697" spans="1:14" x14ac:dyDescent="0.35">
      <c r="A697" s="92"/>
      <c r="B697" s="20" t="s">
        <v>63</v>
      </c>
      <c r="C697" s="21">
        <v>0.68644067796610164</v>
      </c>
      <c r="D697" s="20">
        <v>0.1186440677966102</v>
      </c>
      <c r="E697" s="21">
        <v>0.17372881355932199</v>
      </c>
      <c r="F697" s="20">
        <v>2.1186440677966101E-2</v>
      </c>
      <c r="G697" s="21">
        <v>162</v>
      </c>
      <c r="H697" s="20">
        <v>28</v>
      </c>
      <c r="I697" s="21">
        <v>41</v>
      </c>
      <c r="J697" s="20">
        <v>5</v>
      </c>
      <c r="K697" s="38">
        <v>236</v>
      </c>
      <c r="L697" s="77"/>
      <c r="M697" s="86"/>
      <c r="N697" s="22">
        <v>0.30257883667945901</v>
      </c>
    </row>
    <row r="698" spans="1:14" x14ac:dyDescent="0.35">
      <c r="A698" s="92"/>
      <c r="B698" s="20" t="s">
        <v>380</v>
      </c>
      <c r="C698" s="21">
        <v>0.7443037974683544</v>
      </c>
      <c r="D698" s="20">
        <v>0.12658227848101269</v>
      </c>
      <c r="E698" s="21">
        <v>0.10379746835443041</v>
      </c>
      <c r="F698" s="20">
        <v>2.5316455696202531E-2</v>
      </c>
      <c r="G698" s="21">
        <v>294</v>
      </c>
      <c r="H698" s="20">
        <v>50</v>
      </c>
      <c r="I698" s="21">
        <v>41</v>
      </c>
      <c r="J698" s="20">
        <v>10</v>
      </c>
      <c r="K698" s="38">
        <v>395</v>
      </c>
      <c r="L698" s="77"/>
      <c r="M698" s="86"/>
      <c r="N698" s="22">
        <v>0.78434681892394997</v>
      </c>
    </row>
    <row r="699" spans="1:14" x14ac:dyDescent="0.35">
      <c r="A699" s="92"/>
      <c r="B699" s="20" t="s">
        <v>11</v>
      </c>
      <c r="C699" s="21">
        <v>0.80952380952380953</v>
      </c>
      <c r="D699" s="20">
        <v>0.1040564373897707</v>
      </c>
      <c r="E699" s="21">
        <v>7.2310405643738973E-2</v>
      </c>
      <c r="F699" s="20">
        <v>1.410934744268078E-2</v>
      </c>
      <c r="G699" s="21">
        <v>459</v>
      </c>
      <c r="H699" s="20">
        <v>59</v>
      </c>
      <c r="I699" s="21">
        <v>41</v>
      </c>
      <c r="J699" s="20">
        <v>8</v>
      </c>
      <c r="K699" s="38">
        <v>567</v>
      </c>
      <c r="L699" s="77"/>
      <c r="M699" s="86"/>
      <c r="N699" s="22">
        <v>0.82221341133117698</v>
      </c>
    </row>
    <row r="700" spans="1:14" x14ac:dyDescent="0.35">
      <c r="A700" s="92"/>
      <c r="B700" s="20" t="s">
        <v>21</v>
      </c>
      <c r="C700" s="21">
        <v>0.41118421052631582</v>
      </c>
      <c r="D700" s="20">
        <v>0.43421052631578949</v>
      </c>
      <c r="E700" s="21">
        <v>8.0592105263157895E-2</v>
      </c>
      <c r="F700" s="20">
        <v>7.4013157894736836E-2</v>
      </c>
      <c r="G700" s="21">
        <v>250</v>
      </c>
      <c r="H700" s="20">
        <v>264</v>
      </c>
      <c r="I700" s="21">
        <v>49</v>
      </c>
      <c r="J700" s="20">
        <v>45</v>
      </c>
      <c r="K700" s="38">
        <v>608</v>
      </c>
      <c r="L700" s="77"/>
      <c r="M700" s="86"/>
      <c r="N700" s="22">
        <v>0.88878917694091797</v>
      </c>
    </row>
    <row r="701" spans="1:14" ht="16" thickBot="1" x14ac:dyDescent="0.4">
      <c r="A701" s="93"/>
      <c r="B701" s="26" t="s">
        <v>381</v>
      </c>
      <c r="C701" s="27">
        <v>0.59226190476190477</v>
      </c>
      <c r="D701" s="26">
        <v>0.1607142857142857</v>
      </c>
      <c r="E701" s="27">
        <v>0.22023809523809521</v>
      </c>
      <c r="F701" s="26">
        <v>2.6785714285714281E-2</v>
      </c>
      <c r="G701" s="27">
        <v>199</v>
      </c>
      <c r="H701" s="26">
        <v>54</v>
      </c>
      <c r="I701" s="27">
        <v>74</v>
      </c>
      <c r="J701" s="26">
        <v>9</v>
      </c>
      <c r="K701" s="39">
        <v>336</v>
      </c>
      <c r="L701" s="78"/>
      <c r="M701" s="87"/>
      <c r="N701" s="28">
        <v>0.74951076507568404</v>
      </c>
    </row>
    <row r="702" spans="1:14" x14ac:dyDescent="0.35">
      <c r="A702" s="88" t="s">
        <v>481</v>
      </c>
      <c r="B702" s="8" t="s">
        <v>29</v>
      </c>
      <c r="C702" s="9">
        <v>0.61849710982658956</v>
      </c>
      <c r="D702" s="8">
        <v>0.3583815028901734</v>
      </c>
      <c r="E702" s="9">
        <v>9.6339113680154135E-3</v>
      </c>
      <c r="F702" s="8">
        <v>1.348747591522158E-2</v>
      </c>
      <c r="G702" s="9">
        <v>321</v>
      </c>
      <c r="H702" s="8">
        <v>186</v>
      </c>
      <c r="I702" s="9">
        <v>5</v>
      </c>
      <c r="J702" s="8">
        <v>7</v>
      </c>
      <c r="K702" s="34">
        <v>519</v>
      </c>
      <c r="L702" s="79" t="s">
        <v>23</v>
      </c>
      <c r="M702" s="82">
        <v>-0.71847778558731101</v>
      </c>
      <c r="N702" s="10">
        <v>0.884829521179199</v>
      </c>
    </row>
    <row r="703" spans="1:14" x14ac:dyDescent="0.35">
      <c r="A703" s="89"/>
      <c r="B703" s="11" t="s">
        <v>25</v>
      </c>
      <c r="C703" s="12">
        <v>0.65789473684210531</v>
      </c>
      <c r="D703" s="11">
        <v>0.30409356725146203</v>
      </c>
      <c r="E703" s="12">
        <v>1.754385964912281E-2</v>
      </c>
      <c r="F703" s="11">
        <v>2.046783625730994E-2</v>
      </c>
      <c r="G703" s="12">
        <v>225</v>
      </c>
      <c r="H703" s="11">
        <v>104</v>
      </c>
      <c r="I703" s="12">
        <v>6</v>
      </c>
      <c r="J703" s="11">
        <v>7</v>
      </c>
      <c r="K703" s="35">
        <v>342</v>
      </c>
      <c r="L703" s="80"/>
      <c r="M703" s="83"/>
      <c r="N703" s="13">
        <v>0.71817082166671797</v>
      </c>
    </row>
    <row r="704" spans="1:14" x14ac:dyDescent="0.35">
      <c r="A704" s="89"/>
      <c r="B704" s="11" t="s">
        <v>63</v>
      </c>
      <c r="C704" s="12">
        <v>0.66949152542372881</v>
      </c>
      <c r="D704" s="11">
        <v>0.30932203389830509</v>
      </c>
      <c r="E704" s="12">
        <v>4.2372881355932203E-3</v>
      </c>
      <c r="F704" s="11">
        <v>1.6949152542372881E-2</v>
      </c>
      <c r="G704" s="12">
        <v>158</v>
      </c>
      <c r="H704" s="11">
        <v>73</v>
      </c>
      <c r="I704" s="12">
        <v>1</v>
      </c>
      <c r="J704" s="11">
        <v>4</v>
      </c>
      <c r="K704" s="35">
        <v>236</v>
      </c>
      <c r="L704" s="80"/>
      <c r="M704" s="83"/>
      <c r="N704" s="13">
        <v>0.18832422792911499</v>
      </c>
    </row>
    <row r="705" spans="1:14" x14ac:dyDescent="0.35">
      <c r="A705" s="89"/>
      <c r="B705" s="11" t="s">
        <v>380</v>
      </c>
      <c r="C705" s="12">
        <v>0.69113924050632913</v>
      </c>
      <c r="D705" s="11">
        <v>0.23797468354430379</v>
      </c>
      <c r="E705" s="12">
        <v>3.5443037974683553E-2</v>
      </c>
      <c r="F705" s="11">
        <v>3.5443037974683553E-2</v>
      </c>
      <c r="G705" s="12">
        <v>273</v>
      </c>
      <c r="H705" s="11">
        <v>94</v>
      </c>
      <c r="I705" s="12">
        <v>14</v>
      </c>
      <c r="J705" s="11">
        <v>14</v>
      </c>
      <c r="K705" s="35">
        <v>395</v>
      </c>
      <c r="L705" s="80"/>
      <c r="M705" s="83"/>
      <c r="N705" s="13">
        <v>0.487864971160889</v>
      </c>
    </row>
    <row r="706" spans="1:14" x14ac:dyDescent="0.35">
      <c r="A706" s="89"/>
      <c r="B706" s="11" t="s">
        <v>11</v>
      </c>
      <c r="C706" s="12">
        <v>0.55908289241622577</v>
      </c>
      <c r="D706" s="11">
        <v>0.2416225749559083</v>
      </c>
      <c r="E706" s="12">
        <v>1.410934744268078E-2</v>
      </c>
      <c r="F706" s="11">
        <v>0.1851851851851852</v>
      </c>
      <c r="G706" s="12">
        <v>317</v>
      </c>
      <c r="H706" s="11">
        <v>137</v>
      </c>
      <c r="I706" s="12">
        <v>8</v>
      </c>
      <c r="J706" s="11">
        <v>105</v>
      </c>
      <c r="K706" s="35">
        <v>567</v>
      </c>
      <c r="L706" s="80"/>
      <c r="M706" s="83"/>
      <c r="N706" s="13">
        <v>0.46390011906623801</v>
      </c>
    </row>
    <row r="707" spans="1:14" x14ac:dyDescent="0.35">
      <c r="A707" s="89"/>
      <c r="B707" s="11" t="s">
        <v>21</v>
      </c>
      <c r="C707" s="12">
        <v>0.38651315789473678</v>
      </c>
      <c r="D707" s="11">
        <v>0.58223684210526316</v>
      </c>
      <c r="E707" s="12">
        <v>0</v>
      </c>
      <c r="F707" s="11">
        <v>3.125E-2</v>
      </c>
      <c r="G707" s="12">
        <v>235</v>
      </c>
      <c r="H707" s="11">
        <v>354</v>
      </c>
      <c r="I707" s="12">
        <v>0</v>
      </c>
      <c r="J707" s="11">
        <v>19</v>
      </c>
      <c r="K707" s="35">
        <v>608</v>
      </c>
      <c r="L707" s="80"/>
      <c r="M707" s="83"/>
      <c r="N707" s="13">
        <v>0.76296049356460605</v>
      </c>
    </row>
    <row r="708" spans="1:14" ht="16" thickBot="1" x14ac:dyDescent="0.4">
      <c r="A708" s="90"/>
      <c r="B708" s="14" t="s">
        <v>381</v>
      </c>
      <c r="C708" s="15">
        <v>0.6696428571428571</v>
      </c>
      <c r="D708" s="14">
        <v>0.30952380952380948</v>
      </c>
      <c r="E708" s="15">
        <v>5.9523809523809521E-3</v>
      </c>
      <c r="F708" s="14">
        <v>1.488095238095238E-2</v>
      </c>
      <c r="G708" s="15">
        <v>225</v>
      </c>
      <c r="H708" s="14">
        <v>104</v>
      </c>
      <c r="I708" s="15">
        <v>2</v>
      </c>
      <c r="J708" s="14">
        <v>5</v>
      </c>
      <c r="K708" s="36">
        <v>336</v>
      </c>
      <c r="L708" s="81"/>
      <c r="M708" s="84"/>
      <c r="N708" s="16">
        <v>0.62362593412399303</v>
      </c>
    </row>
    <row r="709" spans="1:14" x14ac:dyDescent="0.35">
      <c r="A709" s="91" t="s">
        <v>482</v>
      </c>
      <c r="B709" s="17" t="s">
        <v>29</v>
      </c>
      <c r="C709" s="18">
        <v>0.41811175337186901</v>
      </c>
      <c r="D709" s="17">
        <v>0.22736030828516379</v>
      </c>
      <c r="E709" s="18">
        <v>0.25626204238921002</v>
      </c>
      <c r="F709" s="17">
        <v>9.8265895953757232E-2</v>
      </c>
      <c r="G709" s="18">
        <v>217</v>
      </c>
      <c r="H709" s="17">
        <v>118</v>
      </c>
      <c r="I709" s="18">
        <v>133</v>
      </c>
      <c r="J709" s="17">
        <v>51</v>
      </c>
      <c r="K709" s="37">
        <v>519</v>
      </c>
      <c r="L709" s="76" t="s">
        <v>59</v>
      </c>
      <c r="M709" s="85">
        <v>-0.432707250118256</v>
      </c>
      <c r="N709" s="19">
        <v>0.43572008609771701</v>
      </c>
    </row>
    <row r="710" spans="1:14" x14ac:dyDescent="0.35">
      <c r="A710" s="92"/>
      <c r="B710" s="20" t="s">
        <v>25</v>
      </c>
      <c r="C710" s="21">
        <v>0.33625730994152048</v>
      </c>
      <c r="D710" s="20">
        <v>0.30409356725146203</v>
      </c>
      <c r="E710" s="21">
        <v>0.33333333333333331</v>
      </c>
      <c r="F710" s="20">
        <v>2.6315789473684209E-2</v>
      </c>
      <c r="G710" s="21">
        <v>115</v>
      </c>
      <c r="H710" s="20">
        <v>104</v>
      </c>
      <c r="I710" s="21">
        <v>114</v>
      </c>
      <c r="J710" s="20">
        <v>9</v>
      </c>
      <c r="K710" s="38">
        <v>342</v>
      </c>
      <c r="L710" s="77"/>
      <c r="M710" s="86"/>
      <c r="N710" s="22">
        <v>0.37317338585853599</v>
      </c>
    </row>
    <row r="711" spans="1:14" x14ac:dyDescent="0.35">
      <c r="A711" s="92"/>
      <c r="B711" s="20" t="s">
        <v>63</v>
      </c>
      <c r="C711" s="21">
        <v>0.36864406779661019</v>
      </c>
      <c r="D711" s="20">
        <v>0.2288135593220339</v>
      </c>
      <c r="E711" s="21">
        <v>0.2711864406779661</v>
      </c>
      <c r="F711" s="20">
        <v>0.13135593220338981</v>
      </c>
      <c r="G711" s="21">
        <v>87</v>
      </c>
      <c r="H711" s="20">
        <v>54</v>
      </c>
      <c r="I711" s="21">
        <v>64</v>
      </c>
      <c r="J711" s="20">
        <v>31</v>
      </c>
      <c r="K711" s="38">
        <v>236</v>
      </c>
      <c r="L711" s="77"/>
      <c r="M711" s="86"/>
      <c r="N711" s="22">
        <v>-5.7709045708179502E-2</v>
      </c>
    </row>
    <row r="712" spans="1:14" x14ac:dyDescent="0.35">
      <c r="A712" s="92"/>
      <c r="B712" s="20" t="s">
        <v>380</v>
      </c>
      <c r="C712" s="21">
        <v>0.57974683544303796</v>
      </c>
      <c r="D712" s="20">
        <v>0.16962025316455701</v>
      </c>
      <c r="E712" s="21">
        <v>0.20506329113924049</v>
      </c>
      <c r="F712" s="20">
        <v>4.5569620253164557E-2</v>
      </c>
      <c r="G712" s="21">
        <v>229</v>
      </c>
      <c r="H712" s="20">
        <v>67</v>
      </c>
      <c r="I712" s="21">
        <v>81</v>
      </c>
      <c r="J712" s="20">
        <v>18</v>
      </c>
      <c r="K712" s="38">
        <v>395</v>
      </c>
      <c r="L712" s="77"/>
      <c r="M712" s="86"/>
      <c r="N712" s="22">
        <v>0.39543083310127303</v>
      </c>
    </row>
    <row r="713" spans="1:14" x14ac:dyDescent="0.35">
      <c r="A713" s="92"/>
      <c r="B713" s="20" t="s">
        <v>11</v>
      </c>
      <c r="C713" s="21">
        <v>0.59788359788359791</v>
      </c>
      <c r="D713" s="20">
        <v>0.23104056437389769</v>
      </c>
      <c r="E713" s="21">
        <v>0.15873015873015869</v>
      </c>
      <c r="F713" s="20">
        <v>1.234567901234568E-2</v>
      </c>
      <c r="G713" s="21">
        <v>339</v>
      </c>
      <c r="H713" s="20">
        <v>131</v>
      </c>
      <c r="I713" s="21">
        <v>90</v>
      </c>
      <c r="J713" s="20">
        <v>7</v>
      </c>
      <c r="K713" s="38">
        <v>567</v>
      </c>
      <c r="L713" s="77"/>
      <c r="M713" s="86"/>
      <c r="N713" s="22">
        <v>0.41010844707489003</v>
      </c>
    </row>
    <row r="714" spans="1:14" x14ac:dyDescent="0.35">
      <c r="A714" s="92"/>
      <c r="B714" s="20" t="s">
        <v>21</v>
      </c>
      <c r="C714" s="21">
        <v>0.39802631578947367</v>
      </c>
      <c r="D714" s="20">
        <v>0.44901315789473678</v>
      </c>
      <c r="E714" s="21">
        <v>0.1118421052631579</v>
      </c>
      <c r="F714" s="20">
        <v>4.1118421052631582E-2</v>
      </c>
      <c r="G714" s="21">
        <v>242</v>
      </c>
      <c r="H714" s="20">
        <v>273</v>
      </c>
      <c r="I714" s="21">
        <v>68</v>
      </c>
      <c r="J714" s="20">
        <v>25</v>
      </c>
      <c r="K714" s="38">
        <v>608</v>
      </c>
      <c r="L714" s="77"/>
      <c r="M714" s="86"/>
      <c r="N714" s="22">
        <v>0.55892163515090898</v>
      </c>
    </row>
    <row r="715" spans="1:14" ht="16" thickBot="1" x14ac:dyDescent="0.4">
      <c r="A715" s="93"/>
      <c r="B715" s="26" t="s">
        <v>381</v>
      </c>
      <c r="C715" s="27">
        <v>0.29761904761904762</v>
      </c>
      <c r="D715" s="26">
        <v>0.36011904761904762</v>
      </c>
      <c r="E715" s="27">
        <v>0.25892857142857151</v>
      </c>
      <c r="F715" s="26">
        <v>8.3333333333333329E-2</v>
      </c>
      <c r="G715" s="27">
        <v>100</v>
      </c>
      <c r="H715" s="26">
        <v>121</v>
      </c>
      <c r="I715" s="27">
        <v>87</v>
      </c>
      <c r="J715" s="26">
        <v>28</v>
      </c>
      <c r="K715" s="39">
        <v>336</v>
      </c>
      <c r="L715" s="78"/>
      <c r="M715" s="87"/>
      <c r="N715" s="28">
        <v>0.100028984248638</v>
      </c>
    </row>
    <row r="716" spans="1:14" x14ac:dyDescent="0.35">
      <c r="A716" s="88" t="s">
        <v>483</v>
      </c>
      <c r="B716" s="8" t="s">
        <v>29</v>
      </c>
      <c r="C716" s="9">
        <v>0.30635838150289019</v>
      </c>
      <c r="D716" s="8">
        <v>0.31021194605009628</v>
      </c>
      <c r="E716" s="9">
        <v>0.16184971098265899</v>
      </c>
      <c r="F716" s="8">
        <v>0.22157996146435449</v>
      </c>
      <c r="G716" s="9">
        <v>159</v>
      </c>
      <c r="H716" s="8">
        <v>161</v>
      </c>
      <c r="I716" s="9">
        <v>84</v>
      </c>
      <c r="J716" s="8">
        <v>115</v>
      </c>
      <c r="K716" s="34">
        <v>519</v>
      </c>
      <c r="L716" s="79" t="s">
        <v>36</v>
      </c>
      <c r="M716" s="82">
        <v>0.50979143381118797</v>
      </c>
      <c r="N716" s="10">
        <v>-0.582949638366699</v>
      </c>
    </row>
    <row r="717" spans="1:14" x14ac:dyDescent="0.35">
      <c r="A717" s="89"/>
      <c r="B717" s="11" t="s">
        <v>25</v>
      </c>
      <c r="C717" s="12">
        <v>0.33333333333333331</v>
      </c>
      <c r="D717" s="11">
        <v>0.35672514619883039</v>
      </c>
      <c r="E717" s="12">
        <v>0.21345029239766081</v>
      </c>
      <c r="F717" s="11">
        <v>9.6491228070175433E-2</v>
      </c>
      <c r="G717" s="12">
        <v>114</v>
      </c>
      <c r="H717" s="11">
        <v>122</v>
      </c>
      <c r="I717" s="12">
        <v>73</v>
      </c>
      <c r="J717" s="11">
        <v>33</v>
      </c>
      <c r="K717" s="35">
        <v>342</v>
      </c>
      <c r="L717" s="80"/>
      <c r="M717" s="83"/>
      <c r="N717" s="13">
        <v>-0.40133264660835299</v>
      </c>
    </row>
    <row r="718" spans="1:14" x14ac:dyDescent="0.35">
      <c r="A718" s="89"/>
      <c r="B718" s="11" t="s">
        <v>63</v>
      </c>
      <c r="C718" s="12">
        <v>0.25423728813559321</v>
      </c>
      <c r="D718" s="11">
        <v>0.55084745762711862</v>
      </c>
      <c r="E718" s="12">
        <v>0.17372881355932199</v>
      </c>
      <c r="F718" s="11">
        <v>2.1186440677966101E-2</v>
      </c>
      <c r="G718" s="12">
        <v>60</v>
      </c>
      <c r="H718" s="11">
        <v>130</v>
      </c>
      <c r="I718" s="12">
        <v>41</v>
      </c>
      <c r="J718" s="11">
        <v>5</v>
      </c>
      <c r="K718" s="35">
        <v>236</v>
      </c>
      <c r="L718" s="80"/>
      <c r="M718" s="83"/>
      <c r="N718" s="13">
        <v>-0.76728141307830799</v>
      </c>
    </row>
    <row r="719" spans="1:14" x14ac:dyDescent="0.35">
      <c r="A719" s="89"/>
      <c r="B719" s="11" t="s">
        <v>380</v>
      </c>
      <c r="C719" s="12">
        <v>0.35949367088607592</v>
      </c>
      <c r="D719" s="11">
        <v>0.37468354430379752</v>
      </c>
      <c r="E719" s="12">
        <v>0.21265822784810129</v>
      </c>
      <c r="F719" s="11">
        <v>5.3164556962025322E-2</v>
      </c>
      <c r="G719" s="12">
        <v>142</v>
      </c>
      <c r="H719" s="11">
        <v>148</v>
      </c>
      <c r="I719" s="12">
        <v>84</v>
      </c>
      <c r="J719" s="11">
        <v>21</v>
      </c>
      <c r="K719" s="35">
        <v>395</v>
      </c>
      <c r="L719" s="80"/>
      <c r="M719" s="83"/>
      <c r="N719" s="13">
        <v>-0.51423621177673295</v>
      </c>
    </row>
    <row r="720" spans="1:14" x14ac:dyDescent="0.35">
      <c r="A720" s="89"/>
      <c r="B720" s="11" t="s">
        <v>11</v>
      </c>
      <c r="C720" s="12">
        <v>0.36507936507936511</v>
      </c>
      <c r="D720" s="11">
        <v>0.39153439153439151</v>
      </c>
      <c r="E720" s="12">
        <v>0.1851851851851852</v>
      </c>
      <c r="F720" s="11">
        <v>5.8201058201058198E-2</v>
      </c>
      <c r="G720" s="12">
        <v>207</v>
      </c>
      <c r="H720" s="11">
        <v>222</v>
      </c>
      <c r="I720" s="12">
        <v>105</v>
      </c>
      <c r="J720" s="11">
        <v>33</v>
      </c>
      <c r="K720" s="35">
        <v>567</v>
      </c>
      <c r="L720" s="80"/>
      <c r="M720" s="83"/>
      <c r="N720" s="13">
        <v>-0.154364824295044</v>
      </c>
    </row>
    <row r="721" spans="1:14" x14ac:dyDescent="0.35">
      <c r="A721" s="89"/>
      <c r="B721" s="11" t="s">
        <v>21</v>
      </c>
      <c r="C721" s="12">
        <v>0.54934210526315785</v>
      </c>
      <c r="D721" s="11">
        <v>0.21710526315789469</v>
      </c>
      <c r="E721" s="12">
        <v>0.1332236842105263</v>
      </c>
      <c r="F721" s="11">
        <v>0.1003289473684211</v>
      </c>
      <c r="G721" s="12">
        <v>334</v>
      </c>
      <c r="H721" s="11">
        <v>132</v>
      </c>
      <c r="I721" s="12">
        <v>81</v>
      </c>
      <c r="J721" s="11">
        <v>61</v>
      </c>
      <c r="K721" s="35">
        <v>608</v>
      </c>
      <c r="L721" s="80"/>
      <c r="M721" s="83"/>
      <c r="N721" s="13">
        <v>-0.58290338516235396</v>
      </c>
    </row>
    <row r="722" spans="1:14" ht="16" thickBot="1" x14ac:dyDescent="0.4">
      <c r="A722" s="90"/>
      <c r="B722" s="14" t="s">
        <v>381</v>
      </c>
      <c r="C722" s="15">
        <v>0.28869047619047622</v>
      </c>
      <c r="D722" s="14">
        <v>0.45238095238095238</v>
      </c>
      <c r="E722" s="15">
        <v>0.21726190476190479</v>
      </c>
      <c r="F722" s="14">
        <v>4.1666666666666657E-2</v>
      </c>
      <c r="G722" s="15">
        <v>97</v>
      </c>
      <c r="H722" s="14">
        <v>152</v>
      </c>
      <c r="I722" s="15">
        <v>73</v>
      </c>
      <c r="J722" s="14">
        <v>14</v>
      </c>
      <c r="K722" s="36">
        <v>336</v>
      </c>
      <c r="L722" s="81"/>
      <c r="M722" s="84"/>
      <c r="N722" s="16">
        <v>-0.59094303846359297</v>
      </c>
    </row>
    <row r="723" spans="1:14" x14ac:dyDescent="0.35">
      <c r="A723" s="91" t="s">
        <v>484</v>
      </c>
      <c r="B723" s="17" t="s">
        <v>29</v>
      </c>
      <c r="C723" s="18">
        <v>0.53564547206165702</v>
      </c>
      <c r="D723" s="17">
        <v>0.45664739884393057</v>
      </c>
      <c r="E723" s="18">
        <v>1.926782273603083E-3</v>
      </c>
      <c r="F723" s="17">
        <v>5.7803468208092483E-3</v>
      </c>
      <c r="G723" s="18">
        <v>278</v>
      </c>
      <c r="H723" s="17">
        <v>237</v>
      </c>
      <c r="I723" s="18">
        <v>1</v>
      </c>
      <c r="J723" s="17">
        <v>3</v>
      </c>
      <c r="K723" s="37">
        <v>519</v>
      </c>
      <c r="L723" s="76" t="s">
        <v>28</v>
      </c>
      <c r="M723" s="85">
        <v>-0.83695143461227395</v>
      </c>
      <c r="N723" s="19">
        <v>0.61889535188674905</v>
      </c>
    </row>
    <row r="724" spans="1:14" x14ac:dyDescent="0.35">
      <c r="A724" s="92"/>
      <c r="B724" s="20" t="s">
        <v>25</v>
      </c>
      <c r="C724" s="21">
        <v>0.67836257309941517</v>
      </c>
      <c r="D724" s="20">
        <v>0.28362573099415211</v>
      </c>
      <c r="E724" s="21">
        <v>3.2163742690058478E-2</v>
      </c>
      <c r="F724" s="20">
        <v>5.8479532163742687E-3</v>
      </c>
      <c r="G724" s="21">
        <v>232</v>
      </c>
      <c r="H724" s="20">
        <v>97</v>
      </c>
      <c r="I724" s="21">
        <v>11</v>
      </c>
      <c r="J724" s="20">
        <v>2</v>
      </c>
      <c r="K724" s="38">
        <v>342</v>
      </c>
      <c r="L724" s="77"/>
      <c r="M724" s="86"/>
      <c r="N724" s="22">
        <v>0.80183237791061401</v>
      </c>
    </row>
    <row r="725" spans="1:14" x14ac:dyDescent="0.35">
      <c r="A725" s="92"/>
      <c r="B725" s="20" t="s">
        <v>63</v>
      </c>
      <c r="C725" s="21">
        <v>0.68644067796610164</v>
      </c>
      <c r="D725" s="20">
        <v>0.26271186440677968</v>
      </c>
      <c r="E725" s="21">
        <v>3.8135593220338992E-2</v>
      </c>
      <c r="F725" s="20">
        <v>1.271186440677966E-2</v>
      </c>
      <c r="G725" s="21">
        <v>162</v>
      </c>
      <c r="H725" s="20">
        <v>62</v>
      </c>
      <c r="I725" s="21">
        <v>9</v>
      </c>
      <c r="J725" s="20">
        <v>3</v>
      </c>
      <c r="K725" s="38">
        <v>236</v>
      </c>
      <c r="L725" s="77"/>
      <c r="M725" s="86"/>
      <c r="N725" s="22">
        <v>0.27234923839569097</v>
      </c>
    </row>
    <row r="726" spans="1:14" x14ac:dyDescent="0.35">
      <c r="A726" s="92"/>
      <c r="B726" s="20" t="s">
        <v>380</v>
      </c>
      <c r="C726" s="21">
        <v>0.78227848101265818</v>
      </c>
      <c r="D726" s="20">
        <v>0.16962025316455701</v>
      </c>
      <c r="E726" s="21">
        <v>3.5443037974683553E-2</v>
      </c>
      <c r="F726" s="20">
        <v>1.2658227848101271E-2</v>
      </c>
      <c r="G726" s="21">
        <v>309</v>
      </c>
      <c r="H726" s="20">
        <v>67</v>
      </c>
      <c r="I726" s="21">
        <v>14</v>
      </c>
      <c r="J726" s="20">
        <v>5</v>
      </c>
      <c r="K726" s="38">
        <v>395</v>
      </c>
      <c r="L726" s="77"/>
      <c r="M726" s="86"/>
      <c r="N726" s="22">
        <v>0.79465442895889304</v>
      </c>
    </row>
    <row r="727" spans="1:14" x14ac:dyDescent="0.35">
      <c r="A727" s="92"/>
      <c r="B727" s="20" t="s">
        <v>11</v>
      </c>
      <c r="C727" s="21">
        <v>0.83774250440917108</v>
      </c>
      <c r="D727" s="20">
        <v>0.14109347442680781</v>
      </c>
      <c r="E727" s="21">
        <v>1.410934744268078E-2</v>
      </c>
      <c r="F727" s="20">
        <v>7.0546737213403876E-3</v>
      </c>
      <c r="G727" s="21">
        <v>475</v>
      </c>
      <c r="H727" s="20">
        <v>80</v>
      </c>
      <c r="I727" s="21">
        <v>8</v>
      </c>
      <c r="J727" s="20">
        <v>4</v>
      </c>
      <c r="K727" s="38">
        <v>567</v>
      </c>
      <c r="L727" s="77"/>
      <c r="M727" s="86"/>
      <c r="N727" s="22">
        <v>0.97568649053573597</v>
      </c>
    </row>
    <row r="728" spans="1:14" x14ac:dyDescent="0.35">
      <c r="A728" s="92"/>
      <c r="B728" s="20" t="s">
        <v>21</v>
      </c>
      <c r="C728" s="21">
        <v>0.38322368421052633</v>
      </c>
      <c r="D728" s="20">
        <v>0.57072368421052633</v>
      </c>
      <c r="E728" s="21">
        <v>1.973684210526316E-2</v>
      </c>
      <c r="F728" s="20">
        <v>2.6315789473684209E-2</v>
      </c>
      <c r="G728" s="21">
        <v>233</v>
      </c>
      <c r="H728" s="20">
        <v>347</v>
      </c>
      <c r="I728" s="21">
        <v>12</v>
      </c>
      <c r="J728" s="20">
        <v>16</v>
      </c>
      <c r="K728" s="38">
        <v>608</v>
      </c>
      <c r="L728" s="77"/>
      <c r="M728" s="86"/>
      <c r="N728" s="22">
        <v>0.83469676971435502</v>
      </c>
    </row>
    <row r="729" spans="1:14" ht="16" thickBot="1" x14ac:dyDescent="0.4">
      <c r="A729" s="93"/>
      <c r="B729" s="26" t="s">
        <v>381</v>
      </c>
      <c r="C729" s="27">
        <v>0.70238095238095233</v>
      </c>
      <c r="D729" s="26">
        <v>0.26190476190476192</v>
      </c>
      <c r="E729" s="27">
        <v>2.976190476190476E-2</v>
      </c>
      <c r="F729" s="26">
        <v>5.9523809523809521E-3</v>
      </c>
      <c r="G729" s="27">
        <v>236</v>
      </c>
      <c r="H729" s="26">
        <v>88</v>
      </c>
      <c r="I729" s="27">
        <v>10</v>
      </c>
      <c r="J729" s="26">
        <v>2</v>
      </c>
      <c r="K729" s="39">
        <v>336</v>
      </c>
      <c r="L729" s="78"/>
      <c r="M729" s="87"/>
      <c r="N729" s="28">
        <v>0.79835867881774902</v>
      </c>
    </row>
    <row r="730" spans="1:14" x14ac:dyDescent="0.35">
      <c r="A730" s="88" t="s">
        <v>485</v>
      </c>
      <c r="B730" s="8" t="s">
        <v>29</v>
      </c>
      <c r="C730" s="9">
        <v>0.45664739884393057</v>
      </c>
      <c r="D730" s="8">
        <v>0.43737957610789979</v>
      </c>
      <c r="E730" s="9">
        <v>7.7071290944123308E-2</v>
      </c>
      <c r="F730" s="8">
        <v>2.8901734104046239E-2</v>
      </c>
      <c r="G730" s="9">
        <v>237</v>
      </c>
      <c r="H730" s="8">
        <v>227</v>
      </c>
      <c r="I730" s="9">
        <v>40</v>
      </c>
      <c r="J730" s="8">
        <v>15</v>
      </c>
      <c r="K730" s="34">
        <v>519</v>
      </c>
      <c r="L730" s="79" t="s">
        <v>19</v>
      </c>
      <c r="M730" s="82">
        <v>-0.334744662046432</v>
      </c>
      <c r="N730" s="10">
        <v>0.34975475072860701</v>
      </c>
    </row>
    <row r="731" spans="1:14" x14ac:dyDescent="0.35">
      <c r="A731" s="89"/>
      <c r="B731" s="11" t="s">
        <v>25</v>
      </c>
      <c r="C731" s="12">
        <v>0.42690058479532161</v>
      </c>
      <c r="D731" s="11">
        <v>0.43859649122807021</v>
      </c>
      <c r="E731" s="12">
        <v>0.13157894736842099</v>
      </c>
      <c r="F731" s="11">
        <v>2.9239766081871339E-3</v>
      </c>
      <c r="G731" s="12">
        <v>146</v>
      </c>
      <c r="H731" s="11">
        <v>150</v>
      </c>
      <c r="I731" s="12">
        <v>45</v>
      </c>
      <c r="J731" s="11">
        <v>1</v>
      </c>
      <c r="K731" s="35">
        <v>342</v>
      </c>
      <c r="L731" s="80"/>
      <c r="M731" s="83"/>
      <c r="N731" s="13">
        <v>0.22284244000911699</v>
      </c>
    </row>
    <row r="732" spans="1:14" x14ac:dyDescent="0.35">
      <c r="A732" s="89"/>
      <c r="B732" s="11" t="s">
        <v>63</v>
      </c>
      <c r="C732" s="12">
        <v>0.32627118644067798</v>
      </c>
      <c r="D732" s="11">
        <v>0.38559322033898308</v>
      </c>
      <c r="E732" s="12">
        <v>0.19067796610169491</v>
      </c>
      <c r="F732" s="11">
        <v>9.7457627118644072E-2</v>
      </c>
      <c r="G732" s="12">
        <v>77</v>
      </c>
      <c r="H732" s="11">
        <v>91</v>
      </c>
      <c r="I732" s="12">
        <v>45</v>
      </c>
      <c r="J732" s="11">
        <v>23</v>
      </c>
      <c r="K732" s="35">
        <v>236</v>
      </c>
      <c r="L732" s="80"/>
      <c r="M732" s="83"/>
      <c r="N732" s="13">
        <v>-0.23296102881431599</v>
      </c>
    </row>
    <row r="733" spans="1:14" x14ac:dyDescent="0.35">
      <c r="A733" s="89"/>
      <c r="B733" s="11" t="s">
        <v>380</v>
      </c>
      <c r="C733" s="12">
        <v>0.56708860759493673</v>
      </c>
      <c r="D733" s="11">
        <v>0.30886075949367092</v>
      </c>
      <c r="E733" s="12">
        <v>0.1012658227848101</v>
      </c>
      <c r="F733" s="11">
        <v>2.2784810126582278E-2</v>
      </c>
      <c r="G733" s="12">
        <v>224</v>
      </c>
      <c r="H733" s="11">
        <v>122</v>
      </c>
      <c r="I733" s="12">
        <v>40</v>
      </c>
      <c r="J733" s="11">
        <v>9</v>
      </c>
      <c r="K733" s="35">
        <v>395</v>
      </c>
      <c r="L733" s="80"/>
      <c r="M733" s="83"/>
      <c r="N733" s="13">
        <v>0.31173479557037398</v>
      </c>
    </row>
    <row r="734" spans="1:14" x14ac:dyDescent="0.35">
      <c r="A734" s="89"/>
      <c r="B734" s="11" t="s">
        <v>11</v>
      </c>
      <c r="C734" s="12">
        <v>0.52380952380952384</v>
      </c>
      <c r="D734" s="11">
        <v>0.28042328042328041</v>
      </c>
      <c r="E734" s="12">
        <v>0.17636684303350969</v>
      </c>
      <c r="F734" s="11">
        <v>1.9400352733686069E-2</v>
      </c>
      <c r="G734" s="12">
        <v>297</v>
      </c>
      <c r="H734" s="11">
        <v>159</v>
      </c>
      <c r="I734" s="12">
        <v>100</v>
      </c>
      <c r="J734" s="11">
        <v>11</v>
      </c>
      <c r="K734" s="35">
        <v>567</v>
      </c>
      <c r="L734" s="80"/>
      <c r="M734" s="83"/>
      <c r="N734" s="13">
        <v>0.32710516452789301</v>
      </c>
    </row>
    <row r="735" spans="1:14" x14ac:dyDescent="0.35">
      <c r="A735" s="89"/>
      <c r="B735" s="11" t="s">
        <v>21</v>
      </c>
      <c r="C735" s="12">
        <v>0.35855263157894729</v>
      </c>
      <c r="D735" s="11">
        <v>0.5</v>
      </c>
      <c r="E735" s="12">
        <v>0.1036184210526316</v>
      </c>
      <c r="F735" s="11">
        <v>3.7828947368421052E-2</v>
      </c>
      <c r="G735" s="12">
        <v>218</v>
      </c>
      <c r="H735" s="11">
        <v>304</v>
      </c>
      <c r="I735" s="12">
        <v>63</v>
      </c>
      <c r="J735" s="11">
        <v>23</v>
      </c>
      <c r="K735" s="35">
        <v>608</v>
      </c>
      <c r="L735" s="80"/>
      <c r="M735" s="83"/>
      <c r="N735" s="13">
        <v>0.46207121014594998</v>
      </c>
    </row>
    <row r="736" spans="1:14" ht="16" thickBot="1" x14ac:dyDescent="0.4">
      <c r="A736" s="90"/>
      <c r="B736" s="14" t="s">
        <v>381</v>
      </c>
      <c r="C736" s="15">
        <v>0.39285714285714279</v>
      </c>
      <c r="D736" s="14">
        <v>0.27083333333333331</v>
      </c>
      <c r="E736" s="15">
        <v>0.33035714285714279</v>
      </c>
      <c r="F736" s="14">
        <v>5.9523809523809521E-3</v>
      </c>
      <c r="G736" s="15">
        <v>132</v>
      </c>
      <c r="H736" s="14">
        <v>91</v>
      </c>
      <c r="I736" s="15">
        <v>111</v>
      </c>
      <c r="J736" s="14">
        <v>2</v>
      </c>
      <c r="K736" s="36">
        <v>336</v>
      </c>
      <c r="L736" s="81"/>
      <c r="M736" s="84"/>
      <c r="N736" s="16">
        <v>0.15109418332576799</v>
      </c>
    </row>
    <row r="737" spans="1:14" x14ac:dyDescent="0.35">
      <c r="A737" s="91" t="s">
        <v>486</v>
      </c>
      <c r="B737" s="17" t="s">
        <v>29</v>
      </c>
      <c r="C737" s="18">
        <v>0.52793834296724473</v>
      </c>
      <c r="D737" s="17">
        <v>0.41233140655105971</v>
      </c>
      <c r="E737" s="18">
        <v>7.7071290944123313E-3</v>
      </c>
      <c r="F737" s="17">
        <v>5.2023121387283239E-2</v>
      </c>
      <c r="G737" s="18">
        <v>274</v>
      </c>
      <c r="H737" s="17">
        <v>214</v>
      </c>
      <c r="I737" s="18">
        <v>4</v>
      </c>
      <c r="J737" s="17">
        <v>27</v>
      </c>
      <c r="K737" s="37">
        <v>519</v>
      </c>
      <c r="L737" s="76" t="s">
        <v>28</v>
      </c>
      <c r="M737" s="85">
        <v>-0.86082446575164795</v>
      </c>
      <c r="N737" s="19">
        <v>0.62442064285278298</v>
      </c>
    </row>
    <row r="738" spans="1:14" x14ac:dyDescent="0.35">
      <c r="A738" s="92"/>
      <c r="B738" s="20" t="s">
        <v>25</v>
      </c>
      <c r="C738" s="21">
        <v>0.6871345029239766</v>
      </c>
      <c r="D738" s="20">
        <v>0.2807017543859649</v>
      </c>
      <c r="E738" s="21">
        <v>2.923976608187134E-2</v>
      </c>
      <c r="F738" s="20">
        <v>2.9239766081871339E-3</v>
      </c>
      <c r="G738" s="21">
        <v>235</v>
      </c>
      <c r="H738" s="20">
        <v>96</v>
      </c>
      <c r="I738" s="21">
        <v>10</v>
      </c>
      <c r="J738" s="20">
        <v>1</v>
      </c>
      <c r="K738" s="38">
        <v>342</v>
      </c>
      <c r="L738" s="77"/>
      <c r="M738" s="86"/>
      <c r="N738" s="22">
        <v>0.81196081638336204</v>
      </c>
    </row>
    <row r="739" spans="1:14" x14ac:dyDescent="0.35">
      <c r="A739" s="92"/>
      <c r="B739" s="20" t="s">
        <v>63</v>
      </c>
      <c r="C739" s="21">
        <v>0.68644067796610164</v>
      </c>
      <c r="D739" s="20">
        <v>0.25</v>
      </c>
      <c r="E739" s="21">
        <v>3.8135593220338992E-2</v>
      </c>
      <c r="F739" s="20">
        <v>2.542372881355932E-2</v>
      </c>
      <c r="G739" s="21">
        <v>162</v>
      </c>
      <c r="H739" s="20">
        <v>59</v>
      </c>
      <c r="I739" s="21">
        <v>9</v>
      </c>
      <c r="J739" s="20">
        <v>6</v>
      </c>
      <c r="K739" s="38">
        <v>236</v>
      </c>
      <c r="L739" s="77"/>
      <c r="M739" s="86"/>
      <c r="N739" s="22">
        <v>0.259735137224197</v>
      </c>
    </row>
    <row r="740" spans="1:14" x14ac:dyDescent="0.35">
      <c r="A740" s="92"/>
      <c r="B740" s="20" t="s">
        <v>380</v>
      </c>
      <c r="C740" s="21">
        <v>0.78227848101265818</v>
      </c>
      <c r="D740" s="20">
        <v>0.16202531645569621</v>
      </c>
      <c r="E740" s="21">
        <v>3.5443037974683553E-2</v>
      </c>
      <c r="F740" s="20">
        <v>2.0253164556962029E-2</v>
      </c>
      <c r="G740" s="21">
        <v>309</v>
      </c>
      <c r="H740" s="20">
        <v>64</v>
      </c>
      <c r="I740" s="21">
        <v>14</v>
      </c>
      <c r="J740" s="20">
        <v>8</v>
      </c>
      <c r="K740" s="38">
        <v>395</v>
      </c>
      <c r="L740" s="77"/>
      <c r="M740" s="86"/>
      <c r="N740" s="22">
        <v>0.865650653839111</v>
      </c>
    </row>
    <row r="741" spans="1:14" x14ac:dyDescent="0.35">
      <c r="A741" s="92"/>
      <c r="B741" s="20" t="s">
        <v>11</v>
      </c>
      <c r="C741" s="21">
        <v>0.84126984126984128</v>
      </c>
      <c r="D741" s="20">
        <v>0.15167548500881831</v>
      </c>
      <c r="E741" s="21">
        <v>3.5273368606701938E-3</v>
      </c>
      <c r="F741" s="20">
        <v>3.5273368606701938E-3</v>
      </c>
      <c r="G741" s="21">
        <v>477</v>
      </c>
      <c r="H741" s="20">
        <v>86</v>
      </c>
      <c r="I741" s="21">
        <v>2</v>
      </c>
      <c r="J741" s="20">
        <v>2</v>
      </c>
      <c r="K741" s="38">
        <v>567</v>
      </c>
      <c r="L741" s="77"/>
      <c r="M741" s="86"/>
      <c r="N741" s="22">
        <v>0.96508067846298196</v>
      </c>
    </row>
    <row r="742" spans="1:14" x14ac:dyDescent="0.35">
      <c r="A742" s="92"/>
      <c r="B742" s="20" t="s">
        <v>21</v>
      </c>
      <c r="C742" s="21">
        <v>0.37664473684210531</v>
      </c>
      <c r="D742" s="20">
        <v>0.57236842105263153</v>
      </c>
      <c r="E742" s="21">
        <v>2.9605263157894739E-2</v>
      </c>
      <c r="F742" s="20">
        <v>2.1381578947368422E-2</v>
      </c>
      <c r="G742" s="21">
        <v>229</v>
      </c>
      <c r="H742" s="20">
        <v>348</v>
      </c>
      <c r="I742" s="21">
        <v>18</v>
      </c>
      <c r="J742" s="20">
        <v>13</v>
      </c>
      <c r="K742" s="38">
        <v>608</v>
      </c>
      <c r="L742" s="77"/>
      <c r="M742" s="86"/>
      <c r="N742" s="22">
        <v>0.88938796520233199</v>
      </c>
    </row>
    <row r="743" spans="1:14" ht="16" thickBot="1" x14ac:dyDescent="0.4">
      <c r="A743" s="93"/>
      <c r="B743" s="26" t="s">
        <v>381</v>
      </c>
      <c r="C743" s="27">
        <v>0.72619047619047616</v>
      </c>
      <c r="D743" s="26">
        <v>0.24702380952380951</v>
      </c>
      <c r="E743" s="27">
        <v>2.3809523809523812E-2</v>
      </c>
      <c r="F743" s="26">
        <v>2.976190476190476E-3</v>
      </c>
      <c r="G743" s="27">
        <v>244</v>
      </c>
      <c r="H743" s="26">
        <v>83</v>
      </c>
      <c r="I743" s="27">
        <v>8</v>
      </c>
      <c r="J743" s="26">
        <v>1</v>
      </c>
      <c r="K743" s="39">
        <v>336</v>
      </c>
      <c r="L743" s="78"/>
      <c r="M743" s="87"/>
      <c r="N743" s="28">
        <v>0.90189069509506203</v>
      </c>
    </row>
    <row r="744" spans="1:14" x14ac:dyDescent="0.35">
      <c r="A744" s="88" t="s">
        <v>487</v>
      </c>
      <c r="B744" s="8" t="s">
        <v>29</v>
      </c>
      <c r="C744" s="9">
        <v>0.46242774566473988</v>
      </c>
      <c r="D744" s="8">
        <v>0.29865125240847779</v>
      </c>
      <c r="E744" s="9">
        <v>0.18689788053949899</v>
      </c>
      <c r="F744" s="8">
        <v>5.2023121387283239E-2</v>
      </c>
      <c r="G744" s="9">
        <v>240</v>
      </c>
      <c r="H744" s="8">
        <v>155</v>
      </c>
      <c r="I744" s="9">
        <v>97</v>
      </c>
      <c r="J744" s="8">
        <v>27</v>
      </c>
      <c r="K744" s="34">
        <v>519</v>
      </c>
      <c r="L744" s="79" t="s">
        <v>59</v>
      </c>
      <c r="M744" s="82">
        <v>-0.469293653964996</v>
      </c>
      <c r="N744" s="10">
        <v>0.418353050947189</v>
      </c>
    </row>
    <row r="745" spans="1:14" x14ac:dyDescent="0.35">
      <c r="A745" s="89"/>
      <c r="B745" s="11" t="s">
        <v>25</v>
      </c>
      <c r="C745" s="12">
        <v>0.49122807017543862</v>
      </c>
      <c r="D745" s="11">
        <v>0.35380116959064328</v>
      </c>
      <c r="E745" s="12">
        <v>0.14035087719298239</v>
      </c>
      <c r="F745" s="11">
        <v>1.461988304093567E-2</v>
      </c>
      <c r="G745" s="12">
        <v>168</v>
      </c>
      <c r="H745" s="11">
        <v>121</v>
      </c>
      <c r="I745" s="12">
        <v>48</v>
      </c>
      <c r="J745" s="11">
        <v>5</v>
      </c>
      <c r="K745" s="35">
        <v>342</v>
      </c>
      <c r="L745" s="80"/>
      <c r="M745" s="83"/>
      <c r="N745" s="13">
        <v>0.407686978578568</v>
      </c>
    </row>
    <row r="746" spans="1:14" x14ac:dyDescent="0.35">
      <c r="A746" s="89"/>
      <c r="B746" s="11" t="s">
        <v>63</v>
      </c>
      <c r="C746" s="12">
        <v>0.59745762711864403</v>
      </c>
      <c r="D746" s="11">
        <v>0.3135593220338983</v>
      </c>
      <c r="E746" s="12">
        <v>6.7796610169491525E-2</v>
      </c>
      <c r="F746" s="11">
        <v>2.1186440677966101E-2</v>
      </c>
      <c r="G746" s="12">
        <v>141</v>
      </c>
      <c r="H746" s="11">
        <v>74</v>
      </c>
      <c r="I746" s="12">
        <v>16</v>
      </c>
      <c r="J746" s="11">
        <v>5</v>
      </c>
      <c r="K746" s="35">
        <v>236</v>
      </c>
      <c r="L746" s="80"/>
      <c r="M746" s="83"/>
      <c r="N746" s="13">
        <v>3.5874929279089002E-2</v>
      </c>
    </row>
    <row r="747" spans="1:14" x14ac:dyDescent="0.35">
      <c r="A747" s="89"/>
      <c r="B747" s="11" t="s">
        <v>380</v>
      </c>
      <c r="C747" s="12">
        <v>0.61265822784810131</v>
      </c>
      <c r="D747" s="11">
        <v>0.27088607594936709</v>
      </c>
      <c r="E747" s="12">
        <v>8.8607594936708861E-2</v>
      </c>
      <c r="F747" s="11">
        <v>2.7848101265822781E-2</v>
      </c>
      <c r="G747" s="12">
        <v>242</v>
      </c>
      <c r="H747" s="11">
        <v>107</v>
      </c>
      <c r="I747" s="12">
        <v>35</v>
      </c>
      <c r="J747" s="11">
        <v>11</v>
      </c>
      <c r="K747" s="35">
        <v>395</v>
      </c>
      <c r="L747" s="80"/>
      <c r="M747" s="83"/>
      <c r="N747" s="13">
        <v>0.36334598064422602</v>
      </c>
    </row>
    <row r="748" spans="1:14" x14ac:dyDescent="0.35">
      <c r="A748" s="89"/>
      <c r="B748" s="11" t="s">
        <v>11</v>
      </c>
      <c r="C748" s="12">
        <v>0.6243386243386243</v>
      </c>
      <c r="D748" s="11">
        <v>0.26455026455026448</v>
      </c>
      <c r="E748" s="12">
        <v>9.8765432098765427E-2</v>
      </c>
      <c r="F748" s="11">
        <v>1.234567901234568E-2</v>
      </c>
      <c r="G748" s="12">
        <v>354</v>
      </c>
      <c r="H748" s="11">
        <v>150</v>
      </c>
      <c r="I748" s="12">
        <v>56</v>
      </c>
      <c r="J748" s="11">
        <v>7</v>
      </c>
      <c r="K748" s="35">
        <v>567</v>
      </c>
      <c r="L748" s="80"/>
      <c r="M748" s="83"/>
      <c r="N748" s="13">
        <v>0.40588641166687001</v>
      </c>
    </row>
    <row r="749" spans="1:14" x14ac:dyDescent="0.35">
      <c r="A749" s="89"/>
      <c r="B749" s="11" t="s">
        <v>21</v>
      </c>
      <c r="C749" s="12">
        <v>0.34868421052631582</v>
      </c>
      <c r="D749" s="11">
        <v>0.52467105263157898</v>
      </c>
      <c r="E749" s="12">
        <v>7.2368421052631582E-2</v>
      </c>
      <c r="F749" s="11">
        <v>5.4276315789473693E-2</v>
      </c>
      <c r="G749" s="12">
        <v>212</v>
      </c>
      <c r="H749" s="11">
        <v>319</v>
      </c>
      <c r="I749" s="12">
        <v>44</v>
      </c>
      <c r="J749" s="11">
        <v>33</v>
      </c>
      <c r="K749" s="35">
        <v>608</v>
      </c>
      <c r="L749" s="80"/>
      <c r="M749" s="83"/>
      <c r="N749" s="13">
        <v>0.57978767156600997</v>
      </c>
    </row>
    <row r="750" spans="1:14" ht="16" thickBot="1" x14ac:dyDescent="0.4">
      <c r="A750" s="90"/>
      <c r="B750" s="14" t="s">
        <v>381</v>
      </c>
      <c r="C750" s="15">
        <v>0.54761904761904767</v>
      </c>
      <c r="D750" s="14">
        <v>0.34523809523809518</v>
      </c>
      <c r="E750" s="15">
        <v>8.3333333333333329E-2</v>
      </c>
      <c r="F750" s="14">
        <v>2.3809523809523812E-2</v>
      </c>
      <c r="G750" s="15">
        <v>184</v>
      </c>
      <c r="H750" s="14">
        <v>116</v>
      </c>
      <c r="I750" s="15">
        <v>28</v>
      </c>
      <c r="J750" s="14">
        <v>8</v>
      </c>
      <c r="K750" s="36">
        <v>336</v>
      </c>
      <c r="L750" s="81"/>
      <c r="M750" s="84"/>
      <c r="N750" s="16">
        <v>0.29141607880592302</v>
      </c>
    </row>
    <row r="751" spans="1:14" x14ac:dyDescent="0.35">
      <c r="A751" s="91" t="s">
        <v>488</v>
      </c>
      <c r="B751" s="17" t="s">
        <v>29</v>
      </c>
      <c r="C751" s="18">
        <v>0.50674373795761074</v>
      </c>
      <c r="D751" s="17">
        <v>0.46242774566473988</v>
      </c>
      <c r="E751" s="18">
        <v>2.119460500963391E-2</v>
      </c>
      <c r="F751" s="17">
        <v>9.6339113680154135E-3</v>
      </c>
      <c r="G751" s="18">
        <v>263</v>
      </c>
      <c r="H751" s="17">
        <v>240</v>
      </c>
      <c r="I751" s="18">
        <v>11</v>
      </c>
      <c r="J751" s="17">
        <v>5</v>
      </c>
      <c r="K751" s="37">
        <v>519</v>
      </c>
      <c r="L751" s="76" t="s">
        <v>44</v>
      </c>
      <c r="M751" s="85">
        <v>-0.64831167459487904</v>
      </c>
      <c r="N751" s="19">
        <v>0.533855199813843</v>
      </c>
    </row>
    <row r="752" spans="1:14" x14ac:dyDescent="0.35">
      <c r="A752" s="92"/>
      <c r="B752" s="20" t="s">
        <v>25</v>
      </c>
      <c r="C752" s="21">
        <v>0.55263157894736847</v>
      </c>
      <c r="D752" s="20">
        <v>0.35964912280701761</v>
      </c>
      <c r="E752" s="21">
        <v>7.6023391812865493E-2</v>
      </c>
      <c r="F752" s="20">
        <v>1.1695906432748541E-2</v>
      </c>
      <c r="G752" s="21">
        <v>189</v>
      </c>
      <c r="H752" s="20">
        <v>123</v>
      </c>
      <c r="I752" s="21">
        <v>26</v>
      </c>
      <c r="J752" s="20">
        <v>4</v>
      </c>
      <c r="K752" s="38">
        <v>342</v>
      </c>
      <c r="L752" s="77"/>
      <c r="M752" s="86"/>
      <c r="N752" s="22">
        <v>0.62392747402191195</v>
      </c>
    </row>
    <row r="753" spans="1:14" x14ac:dyDescent="0.35">
      <c r="A753" s="92"/>
      <c r="B753" s="20" t="s">
        <v>63</v>
      </c>
      <c r="C753" s="21">
        <v>0.38135593220338981</v>
      </c>
      <c r="D753" s="20">
        <v>0.33050847457627119</v>
      </c>
      <c r="E753" s="21">
        <v>0.26271186440677968</v>
      </c>
      <c r="F753" s="20">
        <v>2.542372881355932E-2</v>
      </c>
      <c r="G753" s="21">
        <v>90</v>
      </c>
      <c r="H753" s="20">
        <v>78</v>
      </c>
      <c r="I753" s="21">
        <v>62</v>
      </c>
      <c r="J753" s="20">
        <v>6</v>
      </c>
      <c r="K753" s="38">
        <v>236</v>
      </c>
      <c r="L753" s="77"/>
      <c r="M753" s="86"/>
      <c r="N753" s="22">
        <v>2.1837577223777799E-2</v>
      </c>
    </row>
    <row r="754" spans="1:14" x14ac:dyDescent="0.35">
      <c r="A754" s="92"/>
      <c r="B754" s="20" t="s">
        <v>380</v>
      </c>
      <c r="C754" s="21">
        <v>0.70126582278481009</v>
      </c>
      <c r="D754" s="20">
        <v>0.23797468354430379</v>
      </c>
      <c r="E754" s="21">
        <v>5.0632911392405063E-2</v>
      </c>
      <c r="F754" s="20">
        <v>1.0126582278481009E-2</v>
      </c>
      <c r="G754" s="21">
        <v>277</v>
      </c>
      <c r="H754" s="20">
        <v>94</v>
      </c>
      <c r="I754" s="21">
        <v>20</v>
      </c>
      <c r="J754" s="20">
        <v>4</v>
      </c>
      <c r="K754" s="38">
        <v>395</v>
      </c>
      <c r="L754" s="77"/>
      <c r="M754" s="86"/>
      <c r="N754" s="22">
        <v>0.50779789686203003</v>
      </c>
    </row>
    <row r="755" spans="1:14" x14ac:dyDescent="0.35">
      <c r="A755" s="92"/>
      <c r="B755" s="20" t="s">
        <v>11</v>
      </c>
      <c r="C755" s="21">
        <v>0.79894179894179895</v>
      </c>
      <c r="D755" s="20">
        <v>0.1534391534391534</v>
      </c>
      <c r="E755" s="21">
        <v>4.0564373897707229E-2</v>
      </c>
      <c r="F755" s="20">
        <v>7.0546737213403876E-3</v>
      </c>
      <c r="G755" s="21">
        <v>453</v>
      </c>
      <c r="H755" s="20">
        <v>87</v>
      </c>
      <c r="I755" s="21">
        <v>23</v>
      </c>
      <c r="J755" s="20">
        <v>4</v>
      </c>
      <c r="K755" s="38">
        <v>567</v>
      </c>
      <c r="L755" s="77"/>
      <c r="M755" s="86"/>
      <c r="N755" s="22">
        <v>0.89484828710555997</v>
      </c>
    </row>
    <row r="756" spans="1:14" x14ac:dyDescent="0.35">
      <c r="A756" s="92"/>
      <c r="B756" s="20" t="s">
        <v>21</v>
      </c>
      <c r="C756" s="21">
        <v>0.35526315789473678</v>
      </c>
      <c r="D756" s="20">
        <v>0.61348684210526316</v>
      </c>
      <c r="E756" s="21">
        <v>2.4671052631578951E-2</v>
      </c>
      <c r="F756" s="20">
        <v>6.5789473684210523E-3</v>
      </c>
      <c r="G756" s="21">
        <v>216</v>
      </c>
      <c r="H756" s="20">
        <v>373</v>
      </c>
      <c r="I756" s="21">
        <v>15</v>
      </c>
      <c r="J756" s="20">
        <v>4</v>
      </c>
      <c r="K756" s="38">
        <v>608</v>
      </c>
      <c r="L756" s="77"/>
      <c r="M756" s="86"/>
      <c r="N756" s="22">
        <v>0.70132029056549094</v>
      </c>
    </row>
    <row r="757" spans="1:14" ht="16" thickBot="1" x14ac:dyDescent="0.4">
      <c r="A757" s="93"/>
      <c r="B757" s="26" t="s">
        <v>381</v>
      </c>
      <c r="C757" s="27">
        <v>0.5267857142857143</v>
      </c>
      <c r="D757" s="26">
        <v>0.34523809523809518</v>
      </c>
      <c r="E757" s="27">
        <v>0.1160714285714286</v>
      </c>
      <c r="F757" s="26">
        <v>1.1904761904761901E-2</v>
      </c>
      <c r="G757" s="27">
        <v>177</v>
      </c>
      <c r="H757" s="26">
        <v>116</v>
      </c>
      <c r="I757" s="27">
        <v>39</v>
      </c>
      <c r="J757" s="26">
        <v>4</v>
      </c>
      <c r="K757" s="39">
        <v>336</v>
      </c>
      <c r="L757" s="78"/>
      <c r="M757" s="87"/>
      <c r="N757" s="28">
        <v>0.47472336888313299</v>
      </c>
    </row>
    <row r="758" spans="1:14" x14ac:dyDescent="0.35">
      <c r="A758" s="88" t="s">
        <v>489</v>
      </c>
      <c r="B758" s="8" t="s">
        <v>29</v>
      </c>
      <c r="C758" s="9">
        <v>0.2138728323699422</v>
      </c>
      <c r="D758" s="8">
        <v>0.32369942196531792</v>
      </c>
      <c r="E758" s="9">
        <v>0.32369942196531792</v>
      </c>
      <c r="F758" s="8">
        <v>0.13872832369942201</v>
      </c>
      <c r="G758" s="9">
        <v>111</v>
      </c>
      <c r="H758" s="8">
        <v>168</v>
      </c>
      <c r="I758" s="9">
        <v>168</v>
      </c>
      <c r="J758" s="8">
        <v>72</v>
      </c>
      <c r="K758" s="34">
        <v>519</v>
      </c>
      <c r="L758" s="79" t="s">
        <v>36</v>
      </c>
      <c r="M758" s="82">
        <v>7.0423796772956807E-2</v>
      </c>
      <c r="N758" s="10">
        <v>-0.263272285461426</v>
      </c>
    </row>
    <row r="759" spans="1:14" x14ac:dyDescent="0.35">
      <c r="A759" s="89"/>
      <c r="B759" s="11" t="s">
        <v>25</v>
      </c>
      <c r="C759" s="12">
        <v>0.37134502923976609</v>
      </c>
      <c r="D759" s="11">
        <v>0.3128654970760234</v>
      </c>
      <c r="E759" s="12">
        <v>0.1871345029239766</v>
      </c>
      <c r="F759" s="11">
        <v>0.12865497076023391</v>
      </c>
      <c r="G759" s="12">
        <v>127</v>
      </c>
      <c r="H759" s="11">
        <v>107</v>
      </c>
      <c r="I759" s="12">
        <v>64</v>
      </c>
      <c r="J759" s="11">
        <v>44</v>
      </c>
      <c r="K759" s="35">
        <v>342</v>
      </c>
      <c r="L759" s="80"/>
      <c r="M759" s="83"/>
      <c r="N759" s="13">
        <v>-5.27443215250969E-2</v>
      </c>
    </row>
    <row r="760" spans="1:14" x14ac:dyDescent="0.35">
      <c r="A760" s="89"/>
      <c r="B760" s="11" t="s">
        <v>63</v>
      </c>
      <c r="C760" s="12">
        <v>0.32203389830508472</v>
      </c>
      <c r="D760" s="11">
        <v>0.38135593220338981</v>
      </c>
      <c r="E760" s="12">
        <v>0.26271186440677968</v>
      </c>
      <c r="F760" s="11">
        <v>3.3898305084745763E-2</v>
      </c>
      <c r="G760" s="12">
        <v>76</v>
      </c>
      <c r="H760" s="11">
        <v>90</v>
      </c>
      <c r="I760" s="12">
        <v>62</v>
      </c>
      <c r="J760" s="11">
        <v>8</v>
      </c>
      <c r="K760" s="35">
        <v>236</v>
      </c>
      <c r="L760" s="80"/>
      <c r="M760" s="83"/>
      <c r="N760" s="13">
        <v>-0.48126208782196001</v>
      </c>
    </row>
    <row r="761" spans="1:14" x14ac:dyDescent="0.35">
      <c r="A761" s="89"/>
      <c r="B761" s="11" t="s">
        <v>380</v>
      </c>
      <c r="C761" s="12">
        <v>0.37468354430379752</v>
      </c>
      <c r="D761" s="11">
        <v>0.31898734177215188</v>
      </c>
      <c r="E761" s="12">
        <v>0.2810126582278481</v>
      </c>
      <c r="F761" s="11">
        <v>2.5316455696202531E-2</v>
      </c>
      <c r="G761" s="12">
        <v>148</v>
      </c>
      <c r="H761" s="11">
        <v>126</v>
      </c>
      <c r="I761" s="12">
        <v>111</v>
      </c>
      <c r="J761" s="11">
        <v>10</v>
      </c>
      <c r="K761" s="35">
        <v>395</v>
      </c>
      <c r="L761" s="80"/>
      <c r="M761" s="83"/>
      <c r="N761" s="13">
        <v>-0.254194855690002</v>
      </c>
    </row>
    <row r="762" spans="1:14" x14ac:dyDescent="0.35">
      <c r="A762" s="89"/>
      <c r="B762" s="11" t="s">
        <v>11</v>
      </c>
      <c r="C762" s="12">
        <v>0.42151675485008822</v>
      </c>
      <c r="D762" s="11">
        <v>0.31746031746031739</v>
      </c>
      <c r="E762" s="12">
        <v>0.1693121693121693</v>
      </c>
      <c r="F762" s="11">
        <v>9.1710758377425039E-2</v>
      </c>
      <c r="G762" s="12">
        <v>239</v>
      </c>
      <c r="H762" s="11">
        <v>180</v>
      </c>
      <c r="I762" s="12">
        <v>96</v>
      </c>
      <c r="J762" s="11">
        <v>52</v>
      </c>
      <c r="K762" s="35">
        <v>567</v>
      </c>
      <c r="L762" s="80"/>
      <c r="M762" s="83"/>
      <c r="N762" s="13">
        <v>6.9948419928550706E-2</v>
      </c>
    </row>
    <row r="763" spans="1:14" x14ac:dyDescent="0.35">
      <c r="A763" s="89"/>
      <c r="B763" s="11" t="s">
        <v>21</v>
      </c>
      <c r="C763" s="12">
        <v>0.35855263157894729</v>
      </c>
      <c r="D763" s="11">
        <v>0.24506578947368421</v>
      </c>
      <c r="E763" s="12">
        <v>0.16776315789473681</v>
      </c>
      <c r="F763" s="11">
        <v>0.22861842105263161</v>
      </c>
      <c r="G763" s="12">
        <v>218</v>
      </c>
      <c r="H763" s="11">
        <v>149</v>
      </c>
      <c r="I763" s="12">
        <v>102</v>
      </c>
      <c r="J763" s="11">
        <v>139</v>
      </c>
      <c r="K763" s="35">
        <v>608</v>
      </c>
      <c r="L763" s="80"/>
      <c r="M763" s="83"/>
      <c r="N763" s="13">
        <v>1.69488824903965E-2</v>
      </c>
    </row>
    <row r="764" spans="1:14" ht="16" thickBot="1" x14ac:dyDescent="0.4">
      <c r="A764" s="90"/>
      <c r="B764" s="14" t="s">
        <v>381</v>
      </c>
      <c r="C764" s="15">
        <v>0.43154761904761912</v>
      </c>
      <c r="D764" s="14">
        <v>0.18154761904761901</v>
      </c>
      <c r="E764" s="15">
        <v>0.30357142857142849</v>
      </c>
      <c r="F764" s="14">
        <v>8.3333333333333329E-2</v>
      </c>
      <c r="G764" s="15">
        <v>145</v>
      </c>
      <c r="H764" s="14">
        <v>61</v>
      </c>
      <c r="I764" s="15">
        <v>102</v>
      </c>
      <c r="J764" s="14">
        <v>28</v>
      </c>
      <c r="K764" s="36">
        <v>336</v>
      </c>
      <c r="L764" s="81"/>
      <c r="M764" s="84"/>
      <c r="N764" s="16">
        <v>-2.0736347883939701E-2</v>
      </c>
    </row>
    <row r="765" spans="1:14" x14ac:dyDescent="0.35">
      <c r="A765" s="91" t="s">
        <v>490</v>
      </c>
      <c r="B765" s="17" t="s">
        <v>29</v>
      </c>
      <c r="C765" s="18">
        <v>0.32177263969171482</v>
      </c>
      <c r="D765" s="17">
        <v>0.32562620423892102</v>
      </c>
      <c r="E765" s="18">
        <v>0.32755298651252412</v>
      </c>
      <c r="F765" s="17">
        <v>2.504816955684008E-2</v>
      </c>
      <c r="G765" s="18">
        <v>167</v>
      </c>
      <c r="H765" s="17">
        <v>169</v>
      </c>
      <c r="I765" s="18">
        <v>170</v>
      </c>
      <c r="J765" s="17">
        <v>13</v>
      </c>
      <c r="K765" s="37">
        <v>519</v>
      </c>
      <c r="L765" s="76" t="s">
        <v>59</v>
      </c>
      <c r="M765" s="85">
        <v>-0.50240331888198897</v>
      </c>
      <c r="N765" s="19">
        <v>0.40048405528068498</v>
      </c>
    </row>
    <row r="766" spans="1:14" x14ac:dyDescent="0.35">
      <c r="A766" s="92"/>
      <c r="B766" s="20" t="s">
        <v>25</v>
      </c>
      <c r="C766" s="21">
        <v>0.3742690058479532</v>
      </c>
      <c r="D766" s="20">
        <v>0.33040935672514621</v>
      </c>
      <c r="E766" s="21">
        <v>0.2807017543859649</v>
      </c>
      <c r="F766" s="20">
        <v>1.461988304093567E-2</v>
      </c>
      <c r="G766" s="21">
        <v>128</v>
      </c>
      <c r="H766" s="20">
        <v>113</v>
      </c>
      <c r="I766" s="21">
        <v>96</v>
      </c>
      <c r="J766" s="20">
        <v>5</v>
      </c>
      <c r="K766" s="38">
        <v>342</v>
      </c>
      <c r="L766" s="77"/>
      <c r="M766" s="86"/>
      <c r="N766" s="22">
        <v>0.39062774181366</v>
      </c>
    </row>
    <row r="767" spans="1:14" x14ac:dyDescent="0.35">
      <c r="A767" s="92"/>
      <c r="B767" s="20" t="s">
        <v>63</v>
      </c>
      <c r="C767" s="21">
        <v>0.3940677966101695</v>
      </c>
      <c r="D767" s="20">
        <v>0.20338983050847459</v>
      </c>
      <c r="E767" s="21">
        <v>0.38135593220338981</v>
      </c>
      <c r="F767" s="20">
        <v>2.1186440677966101E-2</v>
      </c>
      <c r="G767" s="21">
        <v>93</v>
      </c>
      <c r="H767" s="20">
        <v>48</v>
      </c>
      <c r="I767" s="21">
        <v>90</v>
      </c>
      <c r="J767" s="20">
        <v>5</v>
      </c>
      <c r="K767" s="38">
        <v>236</v>
      </c>
      <c r="L767" s="77"/>
      <c r="M767" s="86"/>
      <c r="N767" s="22">
        <v>-9.2634381726384198E-3</v>
      </c>
    </row>
    <row r="768" spans="1:14" x14ac:dyDescent="0.35">
      <c r="A768" s="92"/>
      <c r="B768" s="20" t="s">
        <v>380</v>
      </c>
      <c r="C768" s="21">
        <v>0.77974683544303802</v>
      </c>
      <c r="D768" s="20">
        <v>0.16708860759493671</v>
      </c>
      <c r="E768" s="21">
        <v>3.037974683544304E-2</v>
      </c>
      <c r="F768" s="20">
        <v>2.2784810126582278E-2</v>
      </c>
      <c r="G768" s="21">
        <v>308</v>
      </c>
      <c r="H768" s="20">
        <v>66</v>
      </c>
      <c r="I768" s="21">
        <v>12</v>
      </c>
      <c r="J768" s="20">
        <v>9</v>
      </c>
      <c r="K768" s="38">
        <v>395</v>
      </c>
      <c r="L768" s="77"/>
      <c r="M768" s="86"/>
      <c r="N768" s="22">
        <v>0.71823877096176103</v>
      </c>
    </row>
    <row r="769" spans="1:14" x14ac:dyDescent="0.35">
      <c r="A769" s="92"/>
      <c r="B769" s="20" t="s">
        <v>11</v>
      </c>
      <c r="C769" s="21">
        <v>0.5714285714285714</v>
      </c>
      <c r="D769" s="20">
        <v>0.1869488536155203</v>
      </c>
      <c r="E769" s="21">
        <v>0.23280423280423279</v>
      </c>
      <c r="F769" s="20">
        <v>8.8183421516754845E-3</v>
      </c>
      <c r="G769" s="21">
        <v>324</v>
      </c>
      <c r="H769" s="20">
        <v>106</v>
      </c>
      <c r="I769" s="21">
        <v>132</v>
      </c>
      <c r="J769" s="20">
        <v>5</v>
      </c>
      <c r="K769" s="38">
        <v>567</v>
      </c>
      <c r="L769" s="77"/>
      <c r="M769" s="86"/>
      <c r="N769" s="22">
        <v>0.49300292134285001</v>
      </c>
    </row>
    <row r="770" spans="1:14" x14ac:dyDescent="0.35">
      <c r="A770" s="92"/>
      <c r="B770" s="20" t="s">
        <v>21</v>
      </c>
      <c r="C770" s="21">
        <v>0.26480263157894729</v>
      </c>
      <c r="D770" s="20">
        <v>0.47203947368421051</v>
      </c>
      <c r="E770" s="21">
        <v>0.2417763157894737</v>
      </c>
      <c r="F770" s="20">
        <v>2.1381578947368422E-2</v>
      </c>
      <c r="G770" s="21">
        <v>161</v>
      </c>
      <c r="H770" s="20">
        <v>287</v>
      </c>
      <c r="I770" s="21">
        <v>147</v>
      </c>
      <c r="J770" s="20">
        <v>13</v>
      </c>
      <c r="K770" s="38">
        <v>608</v>
      </c>
      <c r="L770" s="77"/>
      <c r="M770" s="86"/>
      <c r="N770" s="22">
        <v>0.63702696561813399</v>
      </c>
    </row>
    <row r="771" spans="1:14" ht="16" thickBot="1" x14ac:dyDescent="0.4">
      <c r="A771" s="93"/>
      <c r="B771" s="26" t="s">
        <v>381</v>
      </c>
      <c r="C771" s="27">
        <v>0.29166666666666669</v>
      </c>
      <c r="D771" s="26">
        <v>0.32440476190476192</v>
      </c>
      <c r="E771" s="27">
        <v>0.37797619047619052</v>
      </c>
      <c r="F771" s="26">
        <v>5.9523809523809521E-3</v>
      </c>
      <c r="G771" s="27">
        <v>98</v>
      </c>
      <c r="H771" s="26">
        <v>109</v>
      </c>
      <c r="I771" s="27">
        <v>127</v>
      </c>
      <c r="J771" s="26">
        <v>2</v>
      </c>
      <c r="K771" s="39">
        <v>336</v>
      </c>
      <c r="L771" s="78"/>
      <c r="M771" s="87"/>
      <c r="N771" s="28">
        <v>0.187545716762543</v>
      </c>
    </row>
    <row r="772" spans="1:14" x14ac:dyDescent="0.35">
      <c r="A772" s="88" t="s">
        <v>491</v>
      </c>
      <c r="B772" s="8" t="s">
        <v>29</v>
      </c>
      <c r="C772" s="9">
        <v>0.41233140655105971</v>
      </c>
      <c r="D772" s="8">
        <v>0.28901734104046239</v>
      </c>
      <c r="E772" s="9">
        <v>0.279383429672447</v>
      </c>
      <c r="F772" s="8">
        <v>1.926782273603083E-2</v>
      </c>
      <c r="G772" s="9">
        <v>214</v>
      </c>
      <c r="H772" s="8">
        <v>150</v>
      </c>
      <c r="I772" s="9">
        <v>145</v>
      </c>
      <c r="J772" s="8">
        <v>10</v>
      </c>
      <c r="K772" s="34">
        <v>519</v>
      </c>
      <c r="L772" s="8" t="s">
        <v>59</v>
      </c>
      <c r="M772" s="82">
        <v>-0.44890472292900102</v>
      </c>
      <c r="N772" s="10">
        <v>0.441490858793259</v>
      </c>
    </row>
    <row r="773" spans="1:14" x14ac:dyDescent="0.35">
      <c r="A773" s="89"/>
      <c r="B773" s="11" t="s">
        <v>25</v>
      </c>
      <c r="C773" s="12">
        <v>0.54970760233918126</v>
      </c>
      <c r="D773" s="11">
        <v>0.24561403508771931</v>
      </c>
      <c r="E773" s="12">
        <v>0.1900584795321637</v>
      </c>
      <c r="F773" s="11">
        <v>1.461988304093567E-2</v>
      </c>
      <c r="G773" s="12">
        <v>188</v>
      </c>
      <c r="H773" s="11">
        <v>84</v>
      </c>
      <c r="I773" s="12">
        <v>65</v>
      </c>
      <c r="J773" s="11">
        <v>5</v>
      </c>
      <c r="K773" s="35">
        <v>342</v>
      </c>
      <c r="L773" s="11" t="s">
        <v>59</v>
      </c>
      <c r="M773" s="83"/>
      <c r="N773" s="13">
        <v>0.60522025823593095</v>
      </c>
    </row>
    <row r="774" spans="1:14" x14ac:dyDescent="0.35">
      <c r="A774" s="89"/>
      <c r="B774" s="11" t="s">
        <v>63</v>
      </c>
      <c r="C774" s="12">
        <v>0.4576271186440678</v>
      </c>
      <c r="D774" s="11">
        <v>0.36440677966101692</v>
      </c>
      <c r="E774" s="12">
        <v>0.16949152542372881</v>
      </c>
      <c r="F774" s="11">
        <v>8.4745762711864406E-3</v>
      </c>
      <c r="G774" s="12">
        <v>108</v>
      </c>
      <c r="H774" s="11">
        <v>86</v>
      </c>
      <c r="I774" s="12">
        <v>40</v>
      </c>
      <c r="J774" s="11">
        <v>2</v>
      </c>
      <c r="K774" s="35">
        <v>236</v>
      </c>
      <c r="L774" s="11" t="s">
        <v>59</v>
      </c>
      <c r="M774" s="83"/>
      <c r="N774" s="13">
        <v>-4.4347081333398798E-2</v>
      </c>
    </row>
    <row r="775" spans="1:14" x14ac:dyDescent="0.35">
      <c r="A775" s="89"/>
      <c r="B775" s="11" t="s">
        <v>380</v>
      </c>
      <c r="C775" s="12">
        <v>0.60506329113924051</v>
      </c>
      <c r="D775" s="11">
        <v>0.26835443037974682</v>
      </c>
      <c r="E775" s="12">
        <v>0.1063291139240506</v>
      </c>
      <c r="F775" s="11">
        <v>2.0253164556962029E-2</v>
      </c>
      <c r="G775" s="12">
        <v>239</v>
      </c>
      <c r="H775" s="11">
        <v>106</v>
      </c>
      <c r="I775" s="12">
        <v>42</v>
      </c>
      <c r="J775" s="11">
        <v>8</v>
      </c>
      <c r="K775" s="35">
        <v>395</v>
      </c>
      <c r="L775" s="11" t="s">
        <v>59</v>
      </c>
      <c r="M775" s="83"/>
      <c r="N775" s="13">
        <v>0.37079051136970498</v>
      </c>
    </row>
    <row r="776" spans="1:14" x14ac:dyDescent="0.35">
      <c r="A776" s="89"/>
      <c r="B776" s="11" t="s">
        <v>11</v>
      </c>
      <c r="C776" s="12">
        <v>0.58906525573192237</v>
      </c>
      <c r="D776" s="11">
        <v>0.21693121693121689</v>
      </c>
      <c r="E776" s="12">
        <v>0.18165784832451501</v>
      </c>
      <c r="F776" s="11">
        <v>1.234567901234568E-2</v>
      </c>
      <c r="G776" s="12">
        <v>334</v>
      </c>
      <c r="H776" s="11">
        <v>123</v>
      </c>
      <c r="I776" s="12">
        <v>103</v>
      </c>
      <c r="J776" s="11">
        <v>7</v>
      </c>
      <c r="K776" s="35">
        <v>567</v>
      </c>
      <c r="L776" s="11" t="s">
        <v>59</v>
      </c>
      <c r="M776" s="83"/>
      <c r="N776" s="13">
        <v>0.40499722957611101</v>
      </c>
    </row>
    <row r="777" spans="1:14" x14ac:dyDescent="0.35">
      <c r="A777" s="89"/>
      <c r="B777" s="11" t="s">
        <v>21</v>
      </c>
      <c r="C777" s="12">
        <v>0.31907894736842107</v>
      </c>
      <c r="D777" s="11">
        <v>0.49177631578947367</v>
      </c>
      <c r="E777" s="12">
        <v>0.16776315789473681</v>
      </c>
      <c r="F777" s="11">
        <v>2.1381578947368422E-2</v>
      </c>
      <c r="G777" s="12">
        <v>194</v>
      </c>
      <c r="H777" s="11">
        <v>299</v>
      </c>
      <c r="I777" s="12">
        <v>102</v>
      </c>
      <c r="J777" s="11">
        <v>13</v>
      </c>
      <c r="K777" s="35">
        <v>608</v>
      </c>
      <c r="L777" s="11" t="s">
        <v>59</v>
      </c>
      <c r="M777" s="83"/>
      <c r="N777" s="13">
        <v>0.51570093631744396</v>
      </c>
    </row>
    <row r="778" spans="1:14" ht="16" thickBot="1" x14ac:dyDescent="0.4">
      <c r="A778" s="90"/>
      <c r="B778" s="14" t="s">
        <v>381</v>
      </c>
      <c r="C778" s="15">
        <v>0.36904761904761912</v>
      </c>
      <c r="D778" s="14">
        <v>0.25595238095238088</v>
      </c>
      <c r="E778" s="15">
        <v>0.3482142857142857</v>
      </c>
      <c r="F778" s="14">
        <v>2.6785714285714281E-2</v>
      </c>
      <c r="G778" s="15">
        <v>124</v>
      </c>
      <c r="H778" s="14">
        <v>86</v>
      </c>
      <c r="I778" s="15">
        <v>117</v>
      </c>
      <c r="J778" s="14">
        <v>9</v>
      </c>
      <c r="K778" s="36">
        <v>336</v>
      </c>
      <c r="L778" s="14" t="s">
        <v>59</v>
      </c>
      <c r="M778" s="84"/>
      <c r="N778" s="16">
        <v>0.16193841397762301</v>
      </c>
    </row>
    <row r="779" spans="1:14" x14ac:dyDescent="0.35">
      <c r="A779" s="91" t="s">
        <v>492</v>
      </c>
      <c r="B779" s="17" t="s">
        <v>29</v>
      </c>
      <c r="C779" s="18">
        <v>0.2813102119460501</v>
      </c>
      <c r="D779" s="17">
        <v>0.48940269749518311</v>
      </c>
      <c r="E779" s="18">
        <v>0.22157996146435449</v>
      </c>
      <c r="F779" s="17">
        <v>7.7071290944123313E-3</v>
      </c>
      <c r="G779" s="18">
        <v>146</v>
      </c>
      <c r="H779" s="17">
        <v>254</v>
      </c>
      <c r="I779" s="18">
        <v>115</v>
      </c>
      <c r="J779" s="17">
        <v>4</v>
      </c>
      <c r="K779" s="37">
        <v>519</v>
      </c>
      <c r="L779" s="17" t="s">
        <v>36</v>
      </c>
      <c r="M779" s="85">
        <v>0.94348043203353904</v>
      </c>
      <c r="N779" s="19">
        <v>-0.95028316974639904</v>
      </c>
    </row>
    <row r="780" spans="1:14" x14ac:dyDescent="0.35">
      <c r="A780" s="92"/>
      <c r="B780" s="20" t="s">
        <v>25</v>
      </c>
      <c r="C780" s="21">
        <v>0.2105263157894737</v>
      </c>
      <c r="D780" s="20">
        <v>0.54970760233918126</v>
      </c>
      <c r="E780" s="21">
        <v>0.23976608187134499</v>
      </c>
      <c r="F780" s="20">
        <v>0</v>
      </c>
      <c r="G780" s="21">
        <v>72</v>
      </c>
      <c r="H780" s="20">
        <v>188</v>
      </c>
      <c r="I780" s="21">
        <v>82</v>
      </c>
      <c r="J780" s="20">
        <v>0</v>
      </c>
      <c r="K780" s="38">
        <v>342</v>
      </c>
      <c r="L780" s="20" t="s">
        <v>36</v>
      </c>
      <c r="M780" s="86"/>
      <c r="N780" s="22">
        <v>-0.86727529764175404</v>
      </c>
    </row>
    <row r="781" spans="1:14" x14ac:dyDescent="0.35">
      <c r="A781" s="92"/>
      <c r="B781" s="20" t="s">
        <v>63</v>
      </c>
      <c r="C781" s="21">
        <v>0.15677966101694921</v>
      </c>
      <c r="D781" s="20">
        <v>0.5423728813559322</v>
      </c>
      <c r="E781" s="21">
        <v>0.2076271186440678</v>
      </c>
      <c r="F781" s="20">
        <v>9.3220338983050849E-2</v>
      </c>
      <c r="G781" s="21">
        <v>37</v>
      </c>
      <c r="H781" s="20">
        <v>128</v>
      </c>
      <c r="I781" s="21">
        <v>49</v>
      </c>
      <c r="J781" s="20">
        <v>22</v>
      </c>
      <c r="K781" s="38">
        <v>236</v>
      </c>
      <c r="L781" s="20" t="s">
        <v>36</v>
      </c>
      <c r="M781" s="86"/>
      <c r="N781" s="22">
        <v>-0.81584274768829301</v>
      </c>
    </row>
    <row r="782" spans="1:14" x14ac:dyDescent="0.35">
      <c r="A782" s="92"/>
      <c r="B782" s="20" t="s">
        <v>380</v>
      </c>
      <c r="C782" s="21">
        <v>0.19746835443037969</v>
      </c>
      <c r="D782" s="20">
        <v>0.57974683544303796</v>
      </c>
      <c r="E782" s="21">
        <v>0.2151898734177215</v>
      </c>
      <c r="F782" s="20">
        <v>7.5949367088607592E-3</v>
      </c>
      <c r="G782" s="21">
        <v>78</v>
      </c>
      <c r="H782" s="20">
        <v>229</v>
      </c>
      <c r="I782" s="21">
        <v>85</v>
      </c>
      <c r="J782" s="20">
        <v>3</v>
      </c>
      <c r="K782" s="38">
        <v>395</v>
      </c>
      <c r="L782" s="20" t="s">
        <v>36</v>
      </c>
      <c r="M782" s="86"/>
      <c r="N782" s="22">
        <v>-0.87977534532546997</v>
      </c>
    </row>
    <row r="783" spans="1:14" x14ac:dyDescent="0.35">
      <c r="A783" s="92"/>
      <c r="B783" s="20" t="s">
        <v>11</v>
      </c>
      <c r="C783" s="21">
        <v>0.20811287477954141</v>
      </c>
      <c r="D783" s="20">
        <v>0.55202821869488539</v>
      </c>
      <c r="E783" s="21">
        <v>0.21693121693121689</v>
      </c>
      <c r="F783" s="20">
        <v>2.292768959435626E-2</v>
      </c>
      <c r="G783" s="21">
        <v>118</v>
      </c>
      <c r="H783" s="20">
        <v>313</v>
      </c>
      <c r="I783" s="21">
        <v>123</v>
      </c>
      <c r="J783" s="20">
        <v>13</v>
      </c>
      <c r="K783" s="38">
        <v>567</v>
      </c>
      <c r="L783" s="20" t="s">
        <v>36</v>
      </c>
      <c r="M783" s="86"/>
      <c r="N783" s="22">
        <v>-0.56091922521591198</v>
      </c>
    </row>
    <row r="784" spans="1:14" x14ac:dyDescent="0.35">
      <c r="A784" s="92"/>
      <c r="B784" s="20" t="s">
        <v>21</v>
      </c>
      <c r="C784" s="21">
        <v>0.51644736842105265</v>
      </c>
      <c r="D784" s="20">
        <v>0.32894736842105271</v>
      </c>
      <c r="E784" s="21">
        <v>0.13651315789473681</v>
      </c>
      <c r="F784" s="20">
        <v>1.8092105263157899E-2</v>
      </c>
      <c r="G784" s="21">
        <v>314</v>
      </c>
      <c r="H784" s="20">
        <v>200</v>
      </c>
      <c r="I784" s="21">
        <v>83</v>
      </c>
      <c r="J784" s="20">
        <v>11</v>
      </c>
      <c r="K784" s="38">
        <v>608</v>
      </c>
      <c r="L784" s="20" t="s">
        <v>36</v>
      </c>
      <c r="M784" s="86"/>
      <c r="N784" s="22">
        <v>-0.94864487648010298</v>
      </c>
    </row>
    <row r="785" spans="1:14" ht="16" thickBot="1" x14ac:dyDescent="0.4">
      <c r="A785" s="93"/>
      <c r="B785" s="26" t="s">
        <v>381</v>
      </c>
      <c r="C785" s="27">
        <v>0.22916666666666671</v>
      </c>
      <c r="D785" s="26">
        <v>0.55952380952380953</v>
      </c>
      <c r="E785" s="27">
        <v>0.21130952380952381</v>
      </c>
      <c r="F785" s="26">
        <v>0</v>
      </c>
      <c r="G785" s="27">
        <v>77</v>
      </c>
      <c r="H785" s="26">
        <v>188</v>
      </c>
      <c r="I785" s="27">
        <v>71</v>
      </c>
      <c r="J785" s="26">
        <v>0</v>
      </c>
      <c r="K785" s="39">
        <v>336</v>
      </c>
      <c r="L785" s="26" t="s">
        <v>36</v>
      </c>
      <c r="M785" s="87"/>
      <c r="N785" s="28">
        <v>-0.98825818300247203</v>
      </c>
    </row>
    <row r="786" spans="1:14" x14ac:dyDescent="0.35">
      <c r="A786" s="88" t="s">
        <v>493</v>
      </c>
      <c r="B786" s="8" t="s">
        <v>29</v>
      </c>
      <c r="C786" s="9">
        <v>0.51252408477842004</v>
      </c>
      <c r="D786" s="8">
        <v>0.48362235067437381</v>
      </c>
      <c r="E786" s="9">
        <v>0</v>
      </c>
      <c r="F786" s="8">
        <v>3.8535645472061661E-3</v>
      </c>
      <c r="G786" s="9">
        <v>266</v>
      </c>
      <c r="H786" s="8">
        <v>251</v>
      </c>
      <c r="I786" s="9">
        <v>0</v>
      </c>
      <c r="J786" s="8">
        <v>2</v>
      </c>
      <c r="K786" s="34">
        <v>519</v>
      </c>
      <c r="L786" s="8" t="s">
        <v>19</v>
      </c>
      <c r="M786" s="82">
        <v>-0.29969295859336897</v>
      </c>
      <c r="N786" s="10">
        <v>0.28801071643829301</v>
      </c>
    </row>
    <row r="787" spans="1:14" x14ac:dyDescent="0.35">
      <c r="A787" s="89"/>
      <c r="B787" s="11" t="s">
        <v>25</v>
      </c>
      <c r="C787" s="12">
        <v>0.51754385964912286</v>
      </c>
      <c r="D787" s="11">
        <v>0.48245614035087719</v>
      </c>
      <c r="E787" s="12">
        <v>0</v>
      </c>
      <c r="F787" s="11">
        <v>0</v>
      </c>
      <c r="G787" s="12">
        <v>177</v>
      </c>
      <c r="H787" s="11">
        <v>165</v>
      </c>
      <c r="I787" s="12">
        <v>0</v>
      </c>
      <c r="J787" s="11">
        <v>0</v>
      </c>
      <c r="K787" s="35">
        <v>342</v>
      </c>
      <c r="L787" s="11" t="s">
        <v>19</v>
      </c>
      <c r="M787" s="83"/>
      <c r="N787" s="13">
        <v>0.305214673280716</v>
      </c>
    </row>
    <row r="788" spans="1:14" x14ac:dyDescent="0.35">
      <c r="A788" s="89"/>
      <c r="B788" s="11" t="s">
        <v>63</v>
      </c>
      <c r="C788" s="12">
        <v>0.4576271186440678</v>
      </c>
      <c r="D788" s="11">
        <v>0.5423728813559322</v>
      </c>
      <c r="E788" s="12">
        <v>0</v>
      </c>
      <c r="F788" s="11">
        <v>0</v>
      </c>
      <c r="G788" s="12">
        <v>108</v>
      </c>
      <c r="H788" s="11">
        <v>128</v>
      </c>
      <c r="I788" s="12">
        <v>0</v>
      </c>
      <c r="J788" s="11">
        <v>0</v>
      </c>
      <c r="K788" s="35">
        <v>236</v>
      </c>
      <c r="L788" s="11" t="s">
        <v>19</v>
      </c>
      <c r="M788" s="83"/>
      <c r="N788" s="13">
        <v>-0.32603511214256298</v>
      </c>
    </row>
    <row r="789" spans="1:14" x14ac:dyDescent="0.35">
      <c r="A789" s="89"/>
      <c r="B789" s="11" t="s">
        <v>380</v>
      </c>
      <c r="C789" s="12">
        <v>0.69873417721518982</v>
      </c>
      <c r="D789" s="11">
        <v>0.29620253164556959</v>
      </c>
      <c r="E789" s="12">
        <v>0</v>
      </c>
      <c r="F789" s="11">
        <v>5.0632911392405064E-3</v>
      </c>
      <c r="G789" s="12">
        <v>276</v>
      </c>
      <c r="H789" s="11">
        <v>117</v>
      </c>
      <c r="I789" s="12">
        <v>0</v>
      </c>
      <c r="J789" s="11">
        <v>2</v>
      </c>
      <c r="K789" s="35">
        <v>395</v>
      </c>
      <c r="L789" s="11" t="s">
        <v>19</v>
      </c>
      <c r="M789" s="83"/>
      <c r="N789" s="13">
        <v>0.38999879360199002</v>
      </c>
    </row>
    <row r="790" spans="1:14" x14ac:dyDescent="0.35">
      <c r="A790" s="89"/>
      <c r="B790" s="11" t="s">
        <v>11</v>
      </c>
      <c r="C790" s="12">
        <v>0.69664902998236333</v>
      </c>
      <c r="D790" s="11">
        <v>0.30335097001763672</v>
      </c>
      <c r="E790" s="12">
        <v>0</v>
      </c>
      <c r="F790" s="11">
        <v>0</v>
      </c>
      <c r="G790" s="12">
        <v>395</v>
      </c>
      <c r="H790" s="11">
        <v>172</v>
      </c>
      <c r="I790" s="12">
        <v>0</v>
      </c>
      <c r="J790" s="11">
        <v>0</v>
      </c>
      <c r="K790" s="35">
        <v>567</v>
      </c>
      <c r="L790" s="11" t="s">
        <v>19</v>
      </c>
      <c r="M790" s="83"/>
      <c r="N790" s="13">
        <v>0.34571543335914601</v>
      </c>
    </row>
    <row r="791" spans="1:14" x14ac:dyDescent="0.35">
      <c r="A791" s="89"/>
      <c r="B791" s="11" t="s">
        <v>21</v>
      </c>
      <c r="C791" s="12">
        <v>0.42927631578947367</v>
      </c>
      <c r="D791" s="11">
        <v>0.56743421052631582</v>
      </c>
      <c r="E791" s="12">
        <v>0</v>
      </c>
      <c r="F791" s="11">
        <v>3.2894736842105261E-3</v>
      </c>
      <c r="G791" s="12">
        <v>261</v>
      </c>
      <c r="H791" s="11">
        <v>345</v>
      </c>
      <c r="I791" s="12">
        <v>0</v>
      </c>
      <c r="J791" s="11">
        <v>2</v>
      </c>
      <c r="K791" s="35">
        <v>608</v>
      </c>
      <c r="L791" s="11" t="s">
        <v>19</v>
      </c>
      <c r="M791" s="83"/>
      <c r="N791" s="13">
        <v>0.32472908496856701</v>
      </c>
    </row>
    <row r="792" spans="1:14" ht="16" thickBot="1" x14ac:dyDescent="0.4">
      <c r="A792" s="90"/>
      <c r="B792" s="14" t="s">
        <v>381</v>
      </c>
      <c r="C792" s="15">
        <v>0.55952380952380953</v>
      </c>
      <c r="D792" s="14">
        <v>0.44047619047619052</v>
      </c>
      <c r="E792" s="15">
        <v>0</v>
      </c>
      <c r="F792" s="14">
        <v>0</v>
      </c>
      <c r="G792" s="15">
        <v>188</v>
      </c>
      <c r="H792" s="14">
        <v>148</v>
      </c>
      <c r="I792" s="15">
        <v>0</v>
      </c>
      <c r="J792" s="14">
        <v>0</v>
      </c>
      <c r="K792" s="36">
        <v>336</v>
      </c>
      <c r="L792" s="14" t="s">
        <v>19</v>
      </c>
      <c r="M792" s="84"/>
      <c r="N792" s="16">
        <v>8.6449585855007199E-2</v>
      </c>
    </row>
    <row r="793" spans="1:14" x14ac:dyDescent="0.35">
      <c r="A793" s="91" t="s">
        <v>494</v>
      </c>
      <c r="B793" s="17" t="s">
        <v>29</v>
      </c>
      <c r="C793" s="18">
        <v>0.2485549132947977</v>
      </c>
      <c r="D793" s="17">
        <v>0.4238921001926782</v>
      </c>
      <c r="E793" s="18">
        <v>0.19653179190751449</v>
      </c>
      <c r="F793" s="17">
        <v>0.13102119460500961</v>
      </c>
      <c r="G793" s="18">
        <v>129</v>
      </c>
      <c r="H793" s="17">
        <v>220</v>
      </c>
      <c r="I793" s="18">
        <v>102</v>
      </c>
      <c r="J793" s="17">
        <v>68</v>
      </c>
      <c r="K793" s="37">
        <v>519</v>
      </c>
      <c r="L793" s="17" t="s">
        <v>36</v>
      </c>
      <c r="M793" s="85">
        <v>0.84449100494384799</v>
      </c>
      <c r="N793" s="19">
        <v>-0.92469668388366699</v>
      </c>
    </row>
    <row r="794" spans="1:14" x14ac:dyDescent="0.35">
      <c r="A794" s="92"/>
      <c r="B794" s="20" t="s">
        <v>25</v>
      </c>
      <c r="C794" s="21">
        <v>0.23976608187134499</v>
      </c>
      <c r="D794" s="20">
        <v>0.50584795321637432</v>
      </c>
      <c r="E794" s="21">
        <v>0.18421052631578949</v>
      </c>
      <c r="F794" s="20">
        <v>7.0175438596491224E-2</v>
      </c>
      <c r="G794" s="21">
        <v>82</v>
      </c>
      <c r="H794" s="20">
        <v>173</v>
      </c>
      <c r="I794" s="21">
        <v>63</v>
      </c>
      <c r="J794" s="20">
        <v>24</v>
      </c>
      <c r="K794" s="38">
        <v>342</v>
      </c>
      <c r="L794" s="20" t="s">
        <v>36</v>
      </c>
      <c r="M794" s="86"/>
      <c r="N794" s="22">
        <v>-0.94093954563140902</v>
      </c>
    </row>
    <row r="795" spans="1:14" x14ac:dyDescent="0.35">
      <c r="A795" s="92"/>
      <c r="B795" s="20" t="s">
        <v>63</v>
      </c>
      <c r="C795" s="21">
        <v>0.18220338983050849</v>
      </c>
      <c r="D795" s="20">
        <v>0.52542372881355937</v>
      </c>
      <c r="E795" s="21">
        <v>0.20338983050847459</v>
      </c>
      <c r="F795" s="20">
        <v>8.8983050847457626E-2</v>
      </c>
      <c r="G795" s="21">
        <v>43</v>
      </c>
      <c r="H795" s="20">
        <v>124</v>
      </c>
      <c r="I795" s="21">
        <v>48</v>
      </c>
      <c r="J795" s="20">
        <v>21</v>
      </c>
      <c r="K795" s="38">
        <v>236</v>
      </c>
      <c r="L795" s="20" t="s">
        <v>36</v>
      </c>
      <c r="M795" s="86"/>
      <c r="N795" s="22">
        <v>-0.85925763845443703</v>
      </c>
    </row>
    <row r="796" spans="1:14" x14ac:dyDescent="0.35">
      <c r="A796" s="92"/>
      <c r="B796" s="20" t="s">
        <v>380</v>
      </c>
      <c r="C796" s="21">
        <v>0.23797468354430379</v>
      </c>
      <c r="D796" s="20">
        <v>0.46835443037974678</v>
      </c>
      <c r="E796" s="21">
        <v>0.16455696202531639</v>
      </c>
      <c r="F796" s="20">
        <v>0.12911392405063291</v>
      </c>
      <c r="G796" s="21">
        <v>94</v>
      </c>
      <c r="H796" s="20">
        <v>185</v>
      </c>
      <c r="I796" s="21">
        <v>65</v>
      </c>
      <c r="J796" s="20">
        <v>51</v>
      </c>
      <c r="K796" s="38">
        <v>395</v>
      </c>
      <c r="L796" s="20" t="s">
        <v>36</v>
      </c>
      <c r="M796" s="86"/>
      <c r="N796" s="22">
        <v>-0.86150163412094105</v>
      </c>
    </row>
    <row r="797" spans="1:14" x14ac:dyDescent="0.35">
      <c r="A797" s="92"/>
      <c r="B797" s="20" t="s">
        <v>11</v>
      </c>
      <c r="C797" s="21">
        <v>0.28924162257495589</v>
      </c>
      <c r="D797" s="20">
        <v>0.49206349206349198</v>
      </c>
      <c r="E797" s="21">
        <v>0.16754850088183421</v>
      </c>
      <c r="F797" s="20">
        <v>5.114638447971781E-2</v>
      </c>
      <c r="G797" s="21">
        <v>164</v>
      </c>
      <c r="H797" s="20">
        <v>279</v>
      </c>
      <c r="I797" s="21">
        <v>95</v>
      </c>
      <c r="J797" s="20">
        <v>29</v>
      </c>
      <c r="K797" s="38">
        <v>567</v>
      </c>
      <c r="L797" s="20" t="s">
        <v>36</v>
      </c>
      <c r="M797" s="86"/>
      <c r="N797" s="22">
        <v>-0.44889879226684598</v>
      </c>
    </row>
    <row r="798" spans="1:14" x14ac:dyDescent="0.35">
      <c r="A798" s="92"/>
      <c r="B798" s="20" t="s">
        <v>21</v>
      </c>
      <c r="C798" s="21">
        <v>0.45723684210526322</v>
      </c>
      <c r="D798" s="20">
        <v>0.25328947368421051</v>
      </c>
      <c r="E798" s="21">
        <v>0.12993421052631579</v>
      </c>
      <c r="F798" s="20">
        <v>0.15953947368421051</v>
      </c>
      <c r="G798" s="21">
        <v>278</v>
      </c>
      <c r="H798" s="20">
        <v>154</v>
      </c>
      <c r="I798" s="21">
        <v>79</v>
      </c>
      <c r="J798" s="20">
        <v>97</v>
      </c>
      <c r="K798" s="38">
        <v>608</v>
      </c>
      <c r="L798" s="20" t="s">
        <v>36</v>
      </c>
      <c r="M798" s="86"/>
      <c r="N798" s="22">
        <v>-0.87467116117477395</v>
      </c>
    </row>
    <row r="799" spans="1:14" ht="16" thickBot="1" x14ac:dyDescent="0.4">
      <c r="A799" s="93"/>
      <c r="B799" s="26" t="s">
        <v>381</v>
      </c>
      <c r="C799" s="27">
        <v>0.25595238095238088</v>
      </c>
      <c r="D799" s="26">
        <v>0.48214285714285721</v>
      </c>
      <c r="E799" s="27">
        <v>0.19345238095238099</v>
      </c>
      <c r="F799" s="26">
        <v>6.8452380952380959E-2</v>
      </c>
      <c r="G799" s="27">
        <v>86</v>
      </c>
      <c r="H799" s="26">
        <v>162</v>
      </c>
      <c r="I799" s="27">
        <v>65</v>
      </c>
      <c r="J799" s="26">
        <v>23</v>
      </c>
      <c r="K799" s="39">
        <v>336</v>
      </c>
      <c r="L799" s="26" t="s">
        <v>36</v>
      </c>
      <c r="M799" s="87"/>
      <c r="N799" s="28">
        <v>-0.81682103872299205</v>
      </c>
    </row>
    <row r="800" spans="1:14" x14ac:dyDescent="0.35">
      <c r="A800" s="88" t="s">
        <v>495</v>
      </c>
      <c r="B800" s="8" t="s">
        <v>29</v>
      </c>
      <c r="C800" s="9">
        <v>0.36608863198458569</v>
      </c>
      <c r="D800" s="8">
        <v>0.32369942196531792</v>
      </c>
      <c r="E800" s="9">
        <v>0.2466281310211946</v>
      </c>
      <c r="F800" s="8">
        <v>6.358381502890173E-2</v>
      </c>
      <c r="G800" s="9">
        <v>190</v>
      </c>
      <c r="H800" s="8">
        <v>168</v>
      </c>
      <c r="I800" s="9">
        <v>128</v>
      </c>
      <c r="J800" s="8">
        <v>33</v>
      </c>
      <c r="K800" s="34">
        <v>519</v>
      </c>
      <c r="L800" s="8" t="s">
        <v>36</v>
      </c>
      <c r="M800" s="82">
        <v>0.523639917373657</v>
      </c>
      <c r="N800" s="10">
        <v>-0.61805421113967896</v>
      </c>
    </row>
    <row r="801" spans="1:14" x14ac:dyDescent="0.35">
      <c r="A801" s="89"/>
      <c r="B801" s="11" t="s">
        <v>25</v>
      </c>
      <c r="C801" s="12">
        <v>0.30994152046783618</v>
      </c>
      <c r="D801" s="11">
        <v>0.42105263157894729</v>
      </c>
      <c r="E801" s="12">
        <v>0.22514619883040929</v>
      </c>
      <c r="F801" s="11">
        <v>4.3859649122807022E-2</v>
      </c>
      <c r="G801" s="12">
        <v>106</v>
      </c>
      <c r="H801" s="11">
        <v>144</v>
      </c>
      <c r="I801" s="12">
        <v>77</v>
      </c>
      <c r="J801" s="11">
        <v>15</v>
      </c>
      <c r="K801" s="35">
        <v>342</v>
      </c>
      <c r="L801" s="11" t="s">
        <v>36</v>
      </c>
      <c r="M801" s="83"/>
      <c r="N801" s="13">
        <v>-0.45116305351257302</v>
      </c>
    </row>
    <row r="802" spans="1:14" x14ac:dyDescent="0.35">
      <c r="A802" s="89"/>
      <c r="B802" s="11" t="s">
        <v>63</v>
      </c>
      <c r="C802" s="12">
        <v>0.25423728813559321</v>
      </c>
      <c r="D802" s="11">
        <v>0.52966101694915257</v>
      </c>
      <c r="E802" s="12">
        <v>0.2076271186440678</v>
      </c>
      <c r="F802" s="11">
        <v>8.4745762711864406E-3</v>
      </c>
      <c r="G802" s="12">
        <v>60</v>
      </c>
      <c r="H802" s="11">
        <v>125</v>
      </c>
      <c r="I802" s="12">
        <v>49</v>
      </c>
      <c r="J802" s="11">
        <v>2</v>
      </c>
      <c r="K802" s="35">
        <v>236</v>
      </c>
      <c r="L802" s="11" t="s">
        <v>36</v>
      </c>
      <c r="M802" s="83"/>
      <c r="N802" s="13">
        <v>-0.76534503698348999</v>
      </c>
    </row>
    <row r="803" spans="1:14" x14ac:dyDescent="0.35">
      <c r="A803" s="89"/>
      <c r="B803" s="11" t="s">
        <v>380</v>
      </c>
      <c r="C803" s="12">
        <v>0.36962025316455699</v>
      </c>
      <c r="D803" s="11">
        <v>0.38987341772151901</v>
      </c>
      <c r="E803" s="12">
        <v>0.23797468354430379</v>
      </c>
      <c r="F803" s="11">
        <v>2.5316455696202532E-3</v>
      </c>
      <c r="G803" s="12">
        <v>146</v>
      </c>
      <c r="H803" s="11">
        <v>154</v>
      </c>
      <c r="I803" s="12">
        <v>94</v>
      </c>
      <c r="J803" s="11">
        <v>1</v>
      </c>
      <c r="K803" s="35">
        <v>395</v>
      </c>
      <c r="L803" s="11" t="s">
        <v>36</v>
      </c>
      <c r="M803" s="83"/>
      <c r="N803" s="13">
        <v>-0.47488492727279702</v>
      </c>
    </row>
    <row r="804" spans="1:14" x14ac:dyDescent="0.35">
      <c r="A804" s="89"/>
      <c r="B804" s="11" t="s">
        <v>11</v>
      </c>
      <c r="C804" s="12">
        <v>0.33862433862433861</v>
      </c>
      <c r="D804" s="11">
        <v>0.44444444444444442</v>
      </c>
      <c r="E804" s="12">
        <v>0.1869488536155203</v>
      </c>
      <c r="F804" s="11">
        <v>2.9982363315696651E-2</v>
      </c>
      <c r="G804" s="12">
        <v>192</v>
      </c>
      <c r="H804" s="11">
        <v>252</v>
      </c>
      <c r="I804" s="12">
        <v>106</v>
      </c>
      <c r="J804" s="11">
        <v>17</v>
      </c>
      <c r="K804" s="35">
        <v>567</v>
      </c>
      <c r="L804" s="11" t="s">
        <v>36</v>
      </c>
      <c r="M804" s="83"/>
      <c r="N804" s="13">
        <v>-0.258719652891159</v>
      </c>
    </row>
    <row r="805" spans="1:14" x14ac:dyDescent="0.35">
      <c r="A805" s="89"/>
      <c r="B805" s="11" t="s">
        <v>21</v>
      </c>
      <c r="C805" s="12">
        <v>0.56085526315789469</v>
      </c>
      <c r="D805" s="11">
        <v>0.22532894736842099</v>
      </c>
      <c r="E805" s="12">
        <v>0.17434210526315791</v>
      </c>
      <c r="F805" s="11">
        <v>3.9473684210526307E-2</v>
      </c>
      <c r="G805" s="12">
        <v>341</v>
      </c>
      <c r="H805" s="11">
        <v>137</v>
      </c>
      <c r="I805" s="12">
        <v>106</v>
      </c>
      <c r="J805" s="11">
        <v>24</v>
      </c>
      <c r="K805" s="35">
        <v>608</v>
      </c>
      <c r="L805" s="11" t="s">
        <v>36</v>
      </c>
      <c r="M805" s="83"/>
      <c r="N805" s="13">
        <v>-0.51376414299011197</v>
      </c>
    </row>
    <row r="806" spans="1:14" ht="16" thickBot="1" x14ac:dyDescent="0.4">
      <c r="A806" s="90"/>
      <c r="B806" s="14" t="s">
        <v>381</v>
      </c>
      <c r="C806" s="15">
        <v>0.26190476190476192</v>
      </c>
      <c r="D806" s="14">
        <v>0.42559523809523808</v>
      </c>
      <c r="E806" s="15">
        <v>0.2857142857142857</v>
      </c>
      <c r="F806" s="14">
        <v>2.6785714285714281E-2</v>
      </c>
      <c r="G806" s="15">
        <v>88</v>
      </c>
      <c r="H806" s="14">
        <v>143</v>
      </c>
      <c r="I806" s="15">
        <v>96</v>
      </c>
      <c r="J806" s="14">
        <v>9</v>
      </c>
      <c r="K806" s="36">
        <v>336</v>
      </c>
      <c r="L806" s="14" t="s">
        <v>36</v>
      </c>
      <c r="M806" s="84"/>
      <c r="N806" s="16">
        <v>-0.65900844335555997</v>
      </c>
    </row>
    <row r="807" spans="1:14" x14ac:dyDescent="0.35">
      <c r="A807" s="91" t="s">
        <v>496</v>
      </c>
      <c r="B807" s="17" t="s">
        <v>29</v>
      </c>
      <c r="C807" s="18">
        <v>0.58766859344894029</v>
      </c>
      <c r="D807" s="17">
        <v>0.38150289017341038</v>
      </c>
      <c r="E807" s="18">
        <v>9.6339113680154135E-3</v>
      </c>
      <c r="F807" s="17">
        <v>2.119460500963391E-2</v>
      </c>
      <c r="G807" s="18">
        <v>305</v>
      </c>
      <c r="H807" s="17">
        <v>198</v>
      </c>
      <c r="I807" s="18">
        <v>5</v>
      </c>
      <c r="J807" s="17">
        <v>11</v>
      </c>
      <c r="K807" s="37">
        <v>519</v>
      </c>
      <c r="L807" s="17" t="s">
        <v>10</v>
      </c>
      <c r="M807" s="85">
        <v>-0.90558493137359597</v>
      </c>
      <c r="N807" s="19">
        <v>0.88359057903289795</v>
      </c>
    </row>
    <row r="808" spans="1:14" x14ac:dyDescent="0.35">
      <c r="A808" s="92"/>
      <c r="B808" s="20" t="s">
        <v>25</v>
      </c>
      <c r="C808" s="21">
        <v>0.6228070175438597</v>
      </c>
      <c r="D808" s="20">
        <v>0.31871345029239773</v>
      </c>
      <c r="E808" s="21">
        <v>3.5087719298245612E-2</v>
      </c>
      <c r="F808" s="20">
        <v>2.3391812865497071E-2</v>
      </c>
      <c r="G808" s="21">
        <v>213</v>
      </c>
      <c r="H808" s="20">
        <v>109</v>
      </c>
      <c r="I808" s="21">
        <v>12</v>
      </c>
      <c r="J808" s="20">
        <v>8</v>
      </c>
      <c r="K808" s="38">
        <v>342</v>
      </c>
      <c r="L808" s="20" t="s">
        <v>10</v>
      </c>
      <c r="M808" s="86"/>
      <c r="N808" s="22">
        <v>0.83029085397720304</v>
      </c>
    </row>
    <row r="809" spans="1:14" x14ac:dyDescent="0.35">
      <c r="A809" s="92"/>
      <c r="B809" s="20" t="s">
        <v>63</v>
      </c>
      <c r="C809" s="21">
        <v>0.75847457627118642</v>
      </c>
      <c r="D809" s="20">
        <v>0.17372881355932199</v>
      </c>
      <c r="E809" s="21">
        <v>8.4745762711864406E-3</v>
      </c>
      <c r="F809" s="20">
        <v>5.9322033898305093E-2</v>
      </c>
      <c r="G809" s="21">
        <v>179</v>
      </c>
      <c r="H809" s="20">
        <v>41</v>
      </c>
      <c r="I809" s="21">
        <v>2</v>
      </c>
      <c r="J809" s="20">
        <v>14</v>
      </c>
      <c r="K809" s="38">
        <v>236</v>
      </c>
      <c r="L809" s="20" t="s">
        <v>10</v>
      </c>
      <c r="M809" s="86"/>
      <c r="N809" s="22">
        <v>0.55645781755447399</v>
      </c>
    </row>
    <row r="810" spans="1:14" x14ac:dyDescent="0.35">
      <c r="A810" s="92"/>
      <c r="B810" s="20" t="s">
        <v>380</v>
      </c>
      <c r="C810" s="21">
        <v>0.77215189873417722</v>
      </c>
      <c r="D810" s="20">
        <v>0.21012658227848099</v>
      </c>
      <c r="E810" s="21">
        <v>7.5949367088607592E-3</v>
      </c>
      <c r="F810" s="20">
        <v>1.0126582278481009E-2</v>
      </c>
      <c r="G810" s="21">
        <v>305</v>
      </c>
      <c r="H810" s="20">
        <v>83</v>
      </c>
      <c r="I810" s="21">
        <v>3</v>
      </c>
      <c r="J810" s="20">
        <v>4</v>
      </c>
      <c r="K810" s="38">
        <v>395</v>
      </c>
      <c r="L810" s="20" t="s">
        <v>10</v>
      </c>
      <c r="M810" s="86"/>
      <c r="N810" s="22">
        <v>0.87301564216613803</v>
      </c>
    </row>
    <row r="811" spans="1:14" x14ac:dyDescent="0.35">
      <c r="A811" s="92"/>
      <c r="B811" s="20" t="s">
        <v>11</v>
      </c>
      <c r="C811" s="21">
        <v>0.74779541446208109</v>
      </c>
      <c r="D811" s="20">
        <v>0.19223985890652559</v>
      </c>
      <c r="E811" s="21">
        <v>4.2328042328042333E-2</v>
      </c>
      <c r="F811" s="20">
        <v>1.7636684303350969E-2</v>
      </c>
      <c r="G811" s="21">
        <v>424</v>
      </c>
      <c r="H811" s="20">
        <v>109</v>
      </c>
      <c r="I811" s="21">
        <v>24</v>
      </c>
      <c r="J811" s="20">
        <v>10</v>
      </c>
      <c r="K811" s="38">
        <v>567</v>
      </c>
      <c r="L811" s="20" t="s">
        <v>10</v>
      </c>
      <c r="M811" s="86"/>
      <c r="N811" s="22">
        <v>0.73038244247436501</v>
      </c>
    </row>
    <row r="812" spans="1:14" x14ac:dyDescent="0.35">
      <c r="A812" s="92"/>
      <c r="B812" s="20" t="s">
        <v>21</v>
      </c>
      <c r="C812" s="21">
        <v>0.43585526315789469</v>
      </c>
      <c r="D812" s="20">
        <v>0.44736842105263158</v>
      </c>
      <c r="E812" s="21">
        <v>1.6447368421052631E-2</v>
      </c>
      <c r="F812" s="20">
        <v>0.1003289473684211</v>
      </c>
      <c r="G812" s="21">
        <v>265</v>
      </c>
      <c r="H812" s="20">
        <v>272</v>
      </c>
      <c r="I812" s="21">
        <v>10</v>
      </c>
      <c r="J812" s="20">
        <v>61</v>
      </c>
      <c r="K812" s="38">
        <v>608</v>
      </c>
      <c r="L812" s="20" t="s">
        <v>10</v>
      </c>
      <c r="M812" s="86"/>
      <c r="N812" s="22">
        <v>0.89745622873306297</v>
      </c>
    </row>
    <row r="813" spans="1:14" ht="16" thickBot="1" x14ac:dyDescent="0.4">
      <c r="A813" s="93"/>
      <c r="B813" s="26" t="s">
        <v>381</v>
      </c>
      <c r="C813" s="27">
        <v>0.63690476190476186</v>
      </c>
      <c r="D813" s="26">
        <v>0.26488095238095238</v>
      </c>
      <c r="E813" s="27">
        <v>5.9523809523809521E-2</v>
      </c>
      <c r="F813" s="26">
        <v>3.8690476190476192E-2</v>
      </c>
      <c r="G813" s="27">
        <v>214</v>
      </c>
      <c r="H813" s="26">
        <v>89</v>
      </c>
      <c r="I813" s="27">
        <v>20</v>
      </c>
      <c r="J813" s="26">
        <v>13</v>
      </c>
      <c r="K813" s="39">
        <v>336</v>
      </c>
      <c r="L813" s="26" t="s">
        <v>10</v>
      </c>
      <c r="M813" s="87"/>
      <c r="N813" s="28">
        <v>0.75267612934112504</v>
      </c>
    </row>
    <row r="814" spans="1:14" x14ac:dyDescent="0.35">
      <c r="A814" s="88" t="s">
        <v>497</v>
      </c>
      <c r="B814" s="8" t="s">
        <v>29</v>
      </c>
      <c r="C814" s="9">
        <v>0.47206165703275532</v>
      </c>
      <c r="D814" s="8">
        <v>0.28901734104046239</v>
      </c>
      <c r="E814" s="9">
        <v>0.22157996146435449</v>
      </c>
      <c r="F814" s="8">
        <v>1.734104046242774E-2</v>
      </c>
      <c r="G814" s="9">
        <v>245</v>
      </c>
      <c r="H814" s="8">
        <v>150</v>
      </c>
      <c r="I814" s="9">
        <v>115</v>
      </c>
      <c r="J814" s="8">
        <v>9</v>
      </c>
      <c r="K814" s="34">
        <v>519</v>
      </c>
      <c r="L814" s="8" t="s">
        <v>23</v>
      </c>
      <c r="M814" s="82">
        <v>-0.14720964431762701</v>
      </c>
      <c r="N814" s="10">
        <v>9.1915376484394101E-2</v>
      </c>
    </row>
    <row r="815" spans="1:14" x14ac:dyDescent="0.35">
      <c r="A815" s="89"/>
      <c r="B815" s="11" t="s">
        <v>25</v>
      </c>
      <c r="C815" s="12">
        <v>0.47953216374268998</v>
      </c>
      <c r="D815" s="11">
        <v>0.24561403508771931</v>
      </c>
      <c r="E815" s="12">
        <v>0.25438596491228072</v>
      </c>
      <c r="F815" s="11">
        <v>2.046783625730994E-2</v>
      </c>
      <c r="G815" s="12">
        <v>164</v>
      </c>
      <c r="H815" s="11">
        <v>84</v>
      </c>
      <c r="I815" s="12">
        <v>87</v>
      </c>
      <c r="J815" s="11">
        <v>7</v>
      </c>
      <c r="K815" s="35">
        <v>342</v>
      </c>
      <c r="L815" s="11" t="s">
        <v>23</v>
      </c>
      <c r="M815" s="83"/>
      <c r="N815" s="13">
        <v>0.16991057991981501</v>
      </c>
    </row>
    <row r="816" spans="1:14" x14ac:dyDescent="0.35">
      <c r="A816" s="89"/>
      <c r="B816" s="11" t="s">
        <v>63</v>
      </c>
      <c r="C816" s="12">
        <v>0.29661016949152541</v>
      </c>
      <c r="D816" s="11">
        <v>0.27966101694915252</v>
      </c>
      <c r="E816" s="12">
        <v>0.3135593220338983</v>
      </c>
      <c r="F816" s="11">
        <v>0.1101694915254237</v>
      </c>
      <c r="G816" s="12">
        <v>70</v>
      </c>
      <c r="H816" s="11">
        <v>66</v>
      </c>
      <c r="I816" s="12">
        <v>74</v>
      </c>
      <c r="J816" s="11">
        <v>26</v>
      </c>
      <c r="K816" s="35">
        <v>236</v>
      </c>
      <c r="L816" s="11" t="s">
        <v>23</v>
      </c>
      <c r="M816" s="83"/>
      <c r="N816" s="13">
        <v>-0.25968345999717701</v>
      </c>
    </row>
    <row r="817" spans="1:14" x14ac:dyDescent="0.35">
      <c r="A817" s="89"/>
      <c r="B817" s="11" t="s">
        <v>380</v>
      </c>
      <c r="C817" s="12">
        <v>0.45569620253164561</v>
      </c>
      <c r="D817" s="11">
        <v>0.28860759493670879</v>
      </c>
      <c r="E817" s="12">
        <v>0.23544303797468349</v>
      </c>
      <c r="F817" s="11">
        <v>2.0253164556962029E-2</v>
      </c>
      <c r="G817" s="12">
        <v>180</v>
      </c>
      <c r="H817" s="11">
        <v>114</v>
      </c>
      <c r="I817" s="12">
        <v>93</v>
      </c>
      <c r="J817" s="11">
        <v>8</v>
      </c>
      <c r="K817" s="35">
        <v>395</v>
      </c>
      <c r="L817" s="11" t="s">
        <v>23</v>
      </c>
      <c r="M817" s="83"/>
      <c r="N817" s="13">
        <v>1.9683516584336801E-3</v>
      </c>
    </row>
    <row r="818" spans="1:14" x14ac:dyDescent="0.35">
      <c r="A818" s="89"/>
      <c r="B818" s="11" t="s">
        <v>11</v>
      </c>
      <c r="C818" s="12">
        <v>0.57671957671957674</v>
      </c>
      <c r="D818" s="11">
        <v>0.2257495590828924</v>
      </c>
      <c r="E818" s="12">
        <v>0.17460317460317459</v>
      </c>
      <c r="F818" s="11">
        <v>2.292768959435626E-2</v>
      </c>
      <c r="G818" s="12">
        <v>327</v>
      </c>
      <c r="H818" s="11">
        <v>128</v>
      </c>
      <c r="I818" s="12">
        <v>99</v>
      </c>
      <c r="J818" s="11">
        <v>13</v>
      </c>
      <c r="K818" s="35">
        <v>567</v>
      </c>
      <c r="L818" s="11" t="s">
        <v>23</v>
      </c>
      <c r="M818" s="83"/>
      <c r="N818" s="13">
        <v>0.27873611450195301</v>
      </c>
    </row>
    <row r="819" spans="1:14" x14ac:dyDescent="0.35">
      <c r="A819" s="89"/>
      <c r="B819" s="11" t="s">
        <v>21</v>
      </c>
      <c r="C819" s="12">
        <v>0.43914473684210531</v>
      </c>
      <c r="D819" s="11">
        <v>0.25164473684210531</v>
      </c>
      <c r="E819" s="12">
        <v>0.26809210526315791</v>
      </c>
      <c r="F819" s="11">
        <v>4.1118421052631582E-2</v>
      </c>
      <c r="G819" s="12">
        <v>267</v>
      </c>
      <c r="H819" s="11">
        <v>153</v>
      </c>
      <c r="I819" s="12">
        <v>163</v>
      </c>
      <c r="J819" s="11">
        <v>25</v>
      </c>
      <c r="K819" s="35">
        <v>608</v>
      </c>
      <c r="L819" s="11" t="s">
        <v>23</v>
      </c>
      <c r="M819" s="83"/>
      <c r="N819" s="13">
        <v>0.158647000789642</v>
      </c>
    </row>
    <row r="820" spans="1:14" ht="16" thickBot="1" x14ac:dyDescent="0.4">
      <c r="A820" s="90"/>
      <c r="B820" s="14" t="s">
        <v>381</v>
      </c>
      <c r="C820" s="15">
        <v>0.39583333333333331</v>
      </c>
      <c r="D820" s="14">
        <v>0.22916666666666671</v>
      </c>
      <c r="E820" s="15">
        <v>0.32738095238095238</v>
      </c>
      <c r="F820" s="14">
        <v>4.7619047619047623E-2</v>
      </c>
      <c r="G820" s="15">
        <v>133</v>
      </c>
      <c r="H820" s="14">
        <v>77</v>
      </c>
      <c r="I820" s="15">
        <v>110</v>
      </c>
      <c r="J820" s="14">
        <v>16</v>
      </c>
      <c r="K820" s="36">
        <v>336</v>
      </c>
      <c r="L820" s="14" t="s">
        <v>23</v>
      </c>
      <c r="M820" s="84"/>
      <c r="N820" s="16">
        <v>3.2769277691841098E-2</v>
      </c>
    </row>
    <row r="821" spans="1:14" x14ac:dyDescent="0.35">
      <c r="A821" s="91" t="s">
        <v>498</v>
      </c>
      <c r="B821" s="17" t="s">
        <v>29</v>
      </c>
      <c r="C821" s="18">
        <v>0.28516377649325619</v>
      </c>
      <c r="D821" s="17">
        <v>0.36608863198458569</v>
      </c>
      <c r="E821" s="18">
        <v>0.31791907514450868</v>
      </c>
      <c r="F821" s="17">
        <v>3.0828516377649329E-2</v>
      </c>
      <c r="G821" s="18">
        <v>148</v>
      </c>
      <c r="H821" s="17">
        <v>190</v>
      </c>
      <c r="I821" s="18">
        <v>165</v>
      </c>
      <c r="J821" s="17">
        <v>16</v>
      </c>
      <c r="K821" s="37">
        <v>519</v>
      </c>
      <c r="L821" s="17" t="s">
        <v>36</v>
      </c>
      <c r="M821" s="85">
        <v>0.41987091302871699</v>
      </c>
      <c r="N821" s="19">
        <v>-0.53102743625640902</v>
      </c>
    </row>
    <row r="822" spans="1:14" x14ac:dyDescent="0.35">
      <c r="A822" s="92"/>
      <c r="B822" s="20" t="s">
        <v>25</v>
      </c>
      <c r="C822" s="21">
        <v>0.34502923976608191</v>
      </c>
      <c r="D822" s="20">
        <v>0.34795321637426901</v>
      </c>
      <c r="E822" s="21">
        <v>0.2982456140350877</v>
      </c>
      <c r="F822" s="20">
        <v>8.771929824561403E-3</v>
      </c>
      <c r="G822" s="21">
        <v>118</v>
      </c>
      <c r="H822" s="20">
        <v>119</v>
      </c>
      <c r="I822" s="21">
        <v>102</v>
      </c>
      <c r="J822" s="20">
        <v>3</v>
      </c>
      <c r="K822" s="38">
        <v>342</v>
      </c>
      <c r="L822" s="20" t="s">
        <v>36</v>
      </c>
      <c r="M822" s="86"/>
      <c r="N822" s="22">
        <v>-0.34566223621368403</v>
      </c>
    </row>
    <row r="823" spans="1:14" x14ac:dyDescent="0.35">
      <c r="A823" s="92"/>
      <c r="B823" s="20" t="s">
        <v>63</v>
      </c>
      <c r="C823" s="21">
        <v>0.22033898305084751</v>
      </c>
      <c r="D823" s="20">
        <v>0.41101694915254239</v>
      </c>
      <c r="E823" s="21">
        <v>0.36864406779661019</v>
      </c>
      <c r="F823" s="20">
        <v>0</v>
      </c>
      <c r="G823" s="21">
        <v>52</v>
      </c>
      <c r="H823" s="20">
        <v>97</v>
      </c>
      <c r="I823" s="21">
        <v>87</v>
      </c>
      <c r="J823" s="20">
        <v>0</v>
      </c>
      <c r="K823" s="38">
        <v>236</v>
      </c>
      <c r="L823" s="20" t="s">
        <v>36</v>
      </c>
      <c r="M823" s="86"/>
      <c r="N823" s="22">
        <v>-0.86570447683334395</v>
      </c>
    </row>
    <row r="824" spans="1:14" x14ac:dyDescent="0.35">
      <c r="A824" s="92"/>
      <c r="B824" s="20" t="s">
        <v>380</v>
      </c>
      <c r="C824" s="21">
        <v>0.34936708860759491</v>
      </c>
      <c r="D824" s="20">
        <v>0.36708860759493672</v>
      </c>
      <c r="E824" s="21">
        <v>0.27088607594936709</v>
      </c>
      <c r="F824" s="20">
        <v>1.2658227848101271E-2</v>
      </c>
      <c r="G824" s="21">
        <v>138</v>
      </c>
      <c r="H824" s="20">
        <v>145</v>
      </c>
      <c r="I824" s="21">
        <v>107</v>
      </c>
      <c r="J824" s="20">
        <v>5</v>
      </c>
      <c r="K824" s="38">
        <v>395</v>
      </c>
      <c r="L824" s="20" t="s">
        <v>36</v>
      </c>
      <c r="M824" s="86"/>
      <c r="N824" s="22">
        <v>-0.505576431751251</v>
      </c>
    </row>
    <row r="825" spans="1:14" x14ac:dyDescent="0.35">
      <c r="A825" s="92"/>
      <c r="B825" s="20" t="s">
        <v>11</v>
      </c>
      <c r="C825" s="21">
        <v>0.3403880070546737</v>
      </c>
      <c r="D825" s="20">
        <v>0.33509700176366841</v>
      </c>
      <c r="E825" s="21">
        <v>0.29982363315696647</v>
      </c>
      <c r="F825" s="20">
        <v>2.469135802469136E-2</v>
      </c>
      <c r="G825" s="21">
        <v>193</v>
      </c>
      <c r="H825" s="20">
        <v>190</v>
      </c>
      <c r="I825" s="21">
        <v>170</v>
      </c>
      <c r="J825" s="20">
        <v>14</v>
      </c>
      <c r="K825" s="38">
        <v>567</v>
      </c>
      <c r="L825" s="20" t="s">
        <v>36</v>
      </c>
      <c r="M825" s="86"/>
      <c r="N825" s="22">
        <v>-0.117346249520779</v>
      </c>
    </row>
    <row r="826" spans="1:14" x14ac:dyDescent="0.35">
      <c r="A826" s="92"/>
      <c r="B826" s="20" t="s">
        <v>21</v>
      </c>
      <c r="C826" s="21">
        <v>0.41447368421052633</v>
      </c>
      <c r="D826" s="20">
        <v>0.22532894736842099</v>
      </c>
      <c r="E826" s="21">
        <v>0.32401315789473678</v>
      </c>
      <c r="F826" s="20">
        <v>3.6184210526315791E-2</v>
      </c>
      <c r="G826" s="21">
        <v>252</v>
      </c>
      <c r="H826" s="20">
        <v>137</v>
      </c>
      <c r="I826" s="21">
        <v>197</v>
      </c>
      <c r="J826" s="20">
        <v>22</v>
      </c>
      <c r="K826" s="38">
        <v>608</v>
      </c>
      <c r="L826" s="20" t="s">
        <v>36</v>
      </c>
      <c r="M826" s="86"/>
      <c r="N826" s="22">
        <v>-0.37993231415748602</v>
      </c>
    </row>
    <row r="827" spans="1:14" ht="16" thickBot="1" x14ac:dyDescent="0.4">
      <c r="A827" s="93"/>
      <c r="B827" s="26" t="s">
        <v>381</v>
      </c>
      <c r="C827" s="27">
        <v>0.30952380952380948</v>
      </c>
      <c r="D827" s="26">
        <v>0.32440476190476192</v>
      </c>
      <c r="E827" s="27">
        <v>0.31845238095238088</v>
      </c>
      <c r="F827" s="26">
        <v>4.7619047619047623E-2</v>
      </c>
      <c r="G827" s="27">
        <v>104</v>
      </c>
      <c r="H827" s="26">
        <v>109</v>
      </c>
      <c r="I827" s="27">
        <v>107</v>
      </c>
      <c r="J827" s="26">
        <v>16</v>
      </c>
      <c r="K827" s="39">
        <v>336</v>
      </c>
      <c r="L827" s="26" t="s">
        <v>36</v>
      </c>
      <c r="M827" s="87"/>
      <c r="N827" s="28">
        <v>-0.51177126169204701</v>
      </c>
    </row>
    <row r="828" spans="1:14" x14ac:dyDescent="0.35">
      <c r="A828" s="88" t="s">
        <v>499</v>
      </c>
      <c r="B828" s="8" t="s">
        <v>29</v>
      </c>
      <c r="C828" s="9">
        <v>0.51637764932562624</v>
      </c>
      <c r="D828" s="8">
        <v>0.23892100192678231</v>
      </c>
      <c r="E828" s="9">
        <v>0.18497109826589589</v>
      </c>
      <c r="F828" s="8">
        <v>5.9730250481695571E-2</v>
      </c>
      <c r="G828" s="9">
        <v>268</v>
      </c>
      <c r="H828" s="8">
        <v>124</v>
      </c>
      <c r="I828" s="9">
        <v>96</v>
      </c>
      <c r="J828" s="8">
        <v>31</v>
      </c>
      <c r="K828" s="34">
        <v>519</v>
      </c>
      <c r="L828" s="8" t="s">
        <v>53</v>
      </c>
      <c r="M828" s="82">
        <v>-0.70527344942092896</v>
      </c>
      <c r="N828" s="10">
        <v>0.54285854101180997</v>
      </c>
    </row>
    <row r="829" spans="1:14" x14ac:dyDescent="0.35">
      <c r="A829" s="89"/>
      <c r="B829" s="11" t="s">
        <v>25</v>
      </c>
      <c r="C829" s="12">
        <v>0.64327485380116955</v>
      </c>
      <c r="D829" s="11">
        <v>0.14619883040935669</v>
      </c>
      <c r="E829" s="12">
        <v>0.17543859649122809</v>
      </c>
      <c r="F829" s="11">
        <v>3.5087719298245612E-2</v>
      </c>
      <c r="G829" s="12">
        <v>220</v>
      </c>
      <c r="H829" s="11">
        <v>50</v>
      </c>
      <c r="I829" s="12">
        <v>60</v>
      </c>
      <c r="J829" s="11">
        <v>12</v>
      </c>
      <c r="K829" s="35">
        <v>342</v>
      </c>
      <c r="L829" s="11" t="s">
        <v>53</v>
      </c>
      <c r="M829" s="83"/>
      <c r="N829" s="13">
        <v>0.741962850093842</v>
      </c>
    </row>
    <row r="830" spans="1:14" x14ac:dyDescent="0.35">
      <c r="A830" s="89"/>
      <c r="B830" s="11" t="s">
        <v>63</v>
      </c>
      <c r="C830" s="12">
        <v>0.63559322033898302</v>
      </c>
      <c r="D830" s="11">
        <v>4.6610169491525417E-2</v>
      </c>
      <c r="E830" s="12">
        <v>0.16101694915254239</v>
      </c>
      <c r="F830" s="11">
        <v>0.15677966101694921</v>
      </c>
      <c r="G830" s="12">
        <v>150</v>
      </c>
      <c r="H830" s="11">
        <v>11</v>
      </c>
      <c r="I830" s="12">
        <v>38</v>
      </c>
      <c r="J830" s="11">
        <v>37</v>
      </c>
      <c r="K830" s="35">
        <v>236</v>
      </c>
      <c r="L830" s="11" t="s">
        <v>53</v>
      </c>
      <c r="M830" s="83"/>
      <c r="N830" s="13">
        <v>0.443624287843704</v>
      </c>
    </row>
    <row r="831" spans="1:14" x14ac:dyDescent="0.35">
      <c r="A831" s="89"/>
      <c r="B831" s="11" t="s">
        <v>380</v>
      </c>
      <c r="C831" s="12">
        <v>0.77468354430379749</v>
      </c>
      <c r="D831" s="11">
        <v>0.1139240506329114</v>
      </c>
      <c r="E831" s="12">
        <v>6.8354430379746839E-2</v>
      </c>
      <c r="F831" s="11">
        <v>4.3037974683544297E-2</v>
      </c>
      <c r="G831" s="12">
        <v>306</v>
      </c>
      <c r="H831" s="11">
        <v>45</v>
      </c>
      <c r="I831" s="12">
        <v>27</v>
      </c>
      <c r="J831" s="11">
        <v>17</v>
      </c>
      <c r="K831" s="35">
        <v>395</v>
      </c>
      <c r="L831" s="11" t="s">
        <v>53</v>
      </c>
      <c r="M831" s="83"/>
      <c r="N831" s="13">
        <v>0.64833718538284302</v>
      </c>
    </row>
    <row r="832" spans="1:14" x14ac:dyDescent="0.35">
      <c r="A832" s="89"/>
      <c r="B832" s="11" t="s">
        <v>11</v>
      </c>
      <c r="C832" s="12">
        <v>0.6843033509700176</v>
      </c>
      <c r="D832" s="11">
        <v>0.14285714285714279</v>
      </c>
      <c r="E832" s="12">
        <v>0.13932980599647271</v>
      </c>
      <c r="F832" s="11">
        <v>3.3509700176366841E-2</v>
      </c>
      <c r="G832" s="12">
        <v>388</v>
      </c>
      <c r="H832" s="11">
        <v>81</v>
      </c>
      <c r="I832" s="12">
        <v>79</v>
      </c>
      <c r="J832" s="11">
        <v>19</v>
      </c>
      <c r="K832" s="35">
        <v>567</v>
      </c>
      <c r="L832" s="11" t="s">
        <v>53</v>
      </c>
      <c r="M832" s="83"/>
      <c r="N832" s="13">
        <v>0.48309522867202798</v>
      </c>
    </row>
    <row r="833" spans="1:14" x14ac:dyDescent="0.35">
      <c r="A833" s="89"/>
      <c r="B833" s="11" t="s">
        <v>21</v>
      </c>
      <c r="C833" s="12">
        <v>0.43421052631578949</v>
      </c>
      <c r="D833" s="11">
        <v>0.39144736842105271</v>
      </c>
      <c r="E833" s="12">
        <v>0.13651315789473681</v>
      </c>
      <c r="F833" s="11">
        <v>3.7828947368421052E-2</v>
      </c>
      <c r="G833" s="12">
        <v>264</v>
      </c>
      <c r="H833" s="11">
        <v>238</v>
      </c>
      <c r="I833" s="12">
        <v>83</v>
      </c>
      <c r="J833" s="11">
        <v>23</v>
      </c>
      <c r="K833" s="35">
        <v>608</v>
      </c>
      <c r="L833" s="11" t="s">
        <v>53</v>
      </c>
      <c r="M833" s="83"/>
      <c r="N833" s="13">
        <v>0.77828025817871105</v>
      </c>
    </row>
    <row r="834" spans="1:14" ht="16" thickBot="1" x14ac:dyDescent="0.4">
      <c r="A834" s="90"/>
      <c r="B834" s="14" t="s">
        <v>381</v>
      </c>
      <c r="C834" s="15">
        <v>0.75</v>
      </c>
      <c r="D834" s="14">
        <v>8.6309523809523808E-2</v>
      </c>
      <c r="E834" s="15">
        <v>0.1339285714285714</v>
      </c>
      <c r="F834" s="14">
        <v>2.976190476190476E-2</v>
      </c>
      <c r="G834" s="15">
        <v>252</v>
      </c>
      <c r="H834" s="14">
        <v>29</v>
      </c>
      <c r="I834" s="15">
        <v>45</v>
      </c>
      <c r="J834" s="14">
        <v>10</v>
      </c>
      <c r="K834" s="36">
        <v>336</v>
      </c>
      <c r="L834" s="14" t="s">
        <v>53</v>
      </c>
      <c r="M834" s="84"/>
      <c r="N834" s="16">
        <v>0.66161388158798196</v>
      </c>
    </row>
    <row r="835" spans="1:14" x14ac:dyDescent="0.35">
      <c r="A835" s="91" t="s">
        <v>500</v>
      </c>
      <c r="B835" s="17" t="s">
        <v>29</v>
      </c>
      <c r="C835" s="18">
        <v>0.53179190751445082</v>
      </c>
      <c r="D835" s="17">
        <v>0.4258188824662813</v>
      </c>
      <c r="E835" s="18">
        <v>2.312138728323699E-2</v>
      </c>
      <c r="F835" s="17">
        <v>1.926782273603083E-2</v>
      </c>
      <c r="G835" s="18">
        <v>276</v>
      </c>
      <c r="H835" s="17">
        <v>221</v>
      </c>
      <c r="I835" s="18">
        <v>12</v>
      </c>
      <c r="J835" s="17">
        <v>10</v>
      </c>
      <c r="K835" s="37">
        <v>519</v>
      </c>
      <c r="L835" s="17" t="s">
        <v>10</v>
      </c>
      <c r="M835" s="85">
        <v>-0.76449412107467696</v>
      </c>
      <c r="N835" s="19">
        <v>0.56830888986587502</v>
      </c>
    </row>
    <row r="836" spans="1:14" x14ac:dyDescent="0.35">
      <c r="A836" s="92"/>
      <c r="B836" s="20" t="s">
        <v>25</v>
      </c>
      <c r="C836" s="21">
        <v>0.48245614035087719</v>
      </c>
      <c r="D836" s="20">
        <v>0.26608187134502931</v>
      </c>
      <c r="E836" s="21">
        <v>0.13450292397660821</v>
      </c>
      <c r="F836" s="20">
        <v>0.1169590643274854</v>
      </c>
      <c r="G836" s="21">
        <v>165</v>
      </c>
      <c r="H836" s="20">
        <v>91</v>
      </c>
      <c r="I836" s="21">
        <v>46</v>
      </c>
      <c r="J836" s="20">
        <v>40</v>
      </c>
      <c r="K836" s="38">
        <v>342</v>
      </c>
      <c r="L836" s="20" t="s">
        <v>10</v>
      </c>
      <c r="M836" s="86"/>
      <c r="N836" s="22">
        <v>0.69992774724960305</v>
      </c>
    </row>
    <row r="837" spans="1:14" x14ac:dyDescent="0.35">
      <c r="A837" s="92"/>
      <c r="B837" s="20" t="s">
        <v>63</v>
      </c>
      <c r="C837" s="21">
        <v>0.67372881355932202</v>
      </c>
      <c r="D837" s="20">
        <v>0.1652542372881356</v>
      </c>
      <c r="E837" s="21">
        <v>9.3220338983050849E-2</v>
      </c>
      <c r="F837" s="20">
        <v>6.7796610169491525E-2</v>
      </c>
      <c r="G837" s="21">
        <v>159</v>
      </c>
      <c r="H837" s="20">
        <v>39</v>
      </c>
      <c r="I837" s="21">
        <v>22</v>
      </c>
      <c r="J837" s="20">
        <v>16</v>
      </c>
      <c r="K837" s="38">
        <v>236</v>
      </c>
      <c r="L837" s="20" t="s">
        <v>10</v>
      </c>
      <c r="M837" s="86"/>
      <c r="N837" s="22">
        <v>0.284264415502548</v>
      </c>
    </row>
    <row r="838" spans="1:14" x14ac:dyDescent="0.35">
      <c r="A838" s="92"/>
      <c r="B838" s="20" t="s">
        <v>380</v>
      </c>
      <c r="C838" s="21">
        <v>0.71392405063291142</v>
      </c>
      <c r="D838" s="20">
        <v>0.17215189873417719</v>
      </c>
      <c r="E838" s="21">
        <v>0.10379746835443041</v>
      </c>
      <c r="F838" s="20">
        <v>1.0126582278481009E-2</v>
      </c>
      <c r="G838" s="21">
        <v>282</v>
      </c>
      <c r="H838" s="20">
        <v>68</v>
      </c>
      <c r="I838" s="21">
        <v>41</v>
      </c>
      <c r="J838" s="20">
        <v>4</v>
      </c>
      <c r="K838" s="38">
        <v>395</v>
      </c>
      <c r="L838" s="20" t="s">
        <v>10</v>
      </c>
      <c r="M838" s="86"/>
      <c r="N838" s="22">
        <v>0.74930310249328602</v>
      </c>
    </row>
    <row r="839" spans="1:14" x14ac:dyDescent="0.35">
      <c r="A839" s="92"/>
      <c r="B839" s="20" t="s">
        <v>11</v>
      </c>
      <c r="C839" s="21">
        <v>0.7707231040564374</v>
      </c>
      <c r="D839" s="20">
        <v>0.1287477954144621</v>
      </c>
      <c r="E839" s="21">
        <v>6.7019400352733682E-2</v>
      </c>
      <c r="F839" s="20">
        <v>3.3509700176366841E-2</v>
      </c>
      <c r="G839" s="21">
        <v>437</v>
      </c>
      <c r="H839" s="20">
        <v>73</v>
      </c>
      <c r="I839" s="21">
        <v>38</v>
      </c>
      <c r="J839" s="20">
        <v>19</v>
      </c>
      <c r="K839" s="38">
        <v>567</v>
      </c>
      <c r="L839" s="20" t="s">
        <v>10</v>
      </c>
      <c r="M839" s="86"/>
      <c r="N839" s="22">
        <v>0.73851454257965099</v>
      </c>
    </row>
    <row r="840" spans="1:14" x14ac:dyDescent="0.35">
      <c r="A840" s="92"/>
      <c r="B840" s="20" t="s">
        <v>21</v>
      </c>
      <c r="C840" s="21">
        <v>0.38815789473684209</v>
      </c>
      <c r="D840" s="20">
        <v>0.52302631578947367</v>
      </c>
      <c r="E840" s="21">
        <v>3.453947368421053E-2</v>
      </c>
      <c r="F840" s="20">
        <v>5.4276315789473693E-2</v>
      </c>
      <c r="G840" s="21">
        <v>236</v>
      </c>
      <c r="H840" s="20">
        <v>318</v>
      </c>
      <c r="I840" s="21">
        <v>21</v>
      </c>
      <c r="J840" s="20">
        <v>33</v>
      </c>
      <c r="K840" s="38">
        <v>608</v>
      </c>
      <c r="L840" s="20" t="s">
        <v>10</v>
      </c>
      <c r="M840" s="86"/>
      <c r="N840" s="22">
        <v>0.76130127906799305</v>
      </c>
    </row>
    <row r="841" spans="1:14" ht="16" thickBot="1" x14ac:dyDescent="0.4">
      <c r="A841" s="93"/>
      <c r="B841" s="26" t="s">
        <v>381</v>
      </c>
      <c r="C841" s="27">
        <v>0.52976190476190477</v>
      </c>
      <c r="D841" s="26">
        <v>0.28869047619047622</v>
      </c>
      <c r="E841" s="27">
        <v>0.1517857142857143</v>
      </c>
      <c r="F841" s="26">
        <v>2.976190476190476E-2</v>
      </c>
      <c r="G841" s="27">
        <v>178</v>
      </c>
      <c r="H841" s="26">
        <v>97</v>
      </c>
      <c r="I841" s="27">
        <v>51</v>
      </c>
      <c r="J841" s="26">
        <v>10</v>
      </c>
      <c r="K841" s="39">
        <v>336</v>
      </c>
      <c r="L841" s="26" t="s">
        <v>10</v>
      </c>
      <c r="M841" s="87"/>
      <c r="N841" s="28">
        <v>0.58973467350006104</v>
      </c>
    </row>
    <row r="842" spans="1:14" x14ac:dyDescent="0.35">
      <c r="A842" s="88" t="s">
        <v>501</v>
      </c>
      <c r="B842" s="8" t="s">
        <v>29</v>
      </c>
      <c r="C842" s="9">
        <v>0.279383429672447</v>
      </c>
      <c r="D842" s="8">
        <v>0.50481695568400775</v>
      </c>
      <c r="E842" s="9">
        <v>0.20038535645472061</v>
      </c>
      <c r="F842" s="8">
        <v>1.5414258188824659E-2</v>
      </c>
      <c r="G842" s="9">
        <v>145</v>
      </c>
      <c r="H842" s="8">
        <v>262</v>
      </c>
      <c r="I842" s="9">
        <v>104</v>
      </c>
      <c r="J842" s="8">
        <v>8</v>
      </c>
      <c r="K842" s="34">
        <v>519</v>
      </c>
      <c r="L842" s="8" t="s">
        <v>36</v>
      </c>
      <c r="M842" s="82">
        <v>0.88357299566268899</v>
      </c>
      <c r="N842" s="10">
        <v>-0.94647091627121005</v>
      </c>
    </row>
    <row r="843" spans="1:14" x14ac:dyDescent="0.35">
      <c r="A843" s="89"/>
      <c r="B843" s="11" t="s">
        <v>25</v>
      </c>
      <c r="C843" s="12">
        <v>0.26023391812865498</v>
      </c>
      <c r="D843" s="11">
        <v>0.59941520467836262</v>
      </c>
      <c r="E843" s="12">
        <v>0.1257309941520468</v>
      </c>
      <c r="F843" s="11">
        <v>1.461988304093567E-2</v>
      </c>
      <c r="G843" s="12">
        <v>89</v>
      </c>
      <c r="H843" s="11">
        <v>205</v>
      </c>
      <c r="I843" s="12">
        <v>43</v>
      </c>
      <c r="J843" s="11">
        <v>5</v>
      </c>
      <c r="K843" s="35">
        <v>342</v>
      </c>
      <c r="L843" s="11" t="s">
        <v>36</v>
      </c>
      <c r="M843" s="83"/>
      <c r="N843" s="13">
        <v>-0.98292368650436401</v>
      </c>
    </row>
    <row r="844" spans="1:14" x14ac:dyDescent="0.35">
      <c r="A844" s="89"/>
      <c r="B844" s="11" t="s">
        <v>63</v>
      </c>
      <c r="C844" s="12">
        <v>0.20338983050847459</v>
      </c>
      <c r="D844" s="11">
        <v>0.60593220338983056</v>
      </c>
      <c r="E844" s="12">
        <v>0.18220338983050849</v>
      </c>
      <c r="F844" s="11">
        <v>8.4745762711864406E-3</v>
      </c>
      <c r="G844" s="12">
        <v>48</v>
      </c>
      <c r="H844" s="11">
        <v>143</v>
      </c>
      <c r="I844" s="12">
        <v>43</v>
      </c>
      <c r="J844" s="11">
        <v>2</v>
      </c>
      <c r="K844" s="35">
        <v>236</v>
      </c>
      <c r="L844" s="11" t="s">
        <v>36</v>
      </c>
      <c r="M844" s="83"/>
      <c r="N844" s="13">
        <v>-0.89086794853210405</v>
      </c>
    </row>
    <row r="845" spans="1:14" x14ac:dyDescent="0.35">
      <c r="A845" s="89"/>
      <c r="B845" s="11" t="s">
        <v>380</v>
      </c>
      <c r="C845" s="12">
        <v>0.25822784810126581</v>
      </c>
      <c r="D845" s="11">
        <v>0.57215189873417727</v>
      </c>
      <c r="E845" s="12">
        <v>0.15443037974683541</v>
      </c>
      <c r="F845" s="11">
        <v>1.518987341772152E-2</v>
      </c>
      <c r="G845" s="12">
        <v>102</v>
      </c>
      <c r="H845" s="11">
        <v>226</v>
      </c>
      <c r="I845" s="12">
        <v>61</v>
      </c>
      <c r="J845" s="11">
        <v>6</v>
      </c>
      <c r="K845" s="35">
        <v>395</v>
      </c>
      <c r="L845" s="11" t="s">
        <v>36</v>
      </c>
      <c r="M845" s="83"/>
      <c r="N845" s="13">
        <v>-0.93544179201126099</v>
      </c>
    </row>
    <row r="846" spans="1:14" x14ac:dyDescent="0.35">
      <c r="A846" s="89"/>
      <c r="B846" s="11" t="s">
        <v>11</v>
      </c>
      <c r="C846" s="12">
        <v>0.29100529100529099</v>
      </c>
      <c r="D846" s="11">
        <v>0.55379188712522043</v>
      </c>
      <c r="E846" s="12">
        <v>0.13580246913580249</v>
      </c>
      <c r="F846" s="11">
        <v>1.9400352733686069E-2</v>
      </c>
      <c r="G846" s="12">
        <v>165</v>
      </c>
      <c r="H846" s="11">
        <v>314</v>
      </c>
      <c r="I846" s="12">
        <v>77</v>
      </c>
      <c r="J846" s="11">
        <v>11</v>
      </c>
      <c r="K846" s="35">
        <v>567</v>
      </c>
      <c r="L846" s="11" t="s">
        <v>36</v>
      </c>
      <c r="M846" s="83"/>
      <c r="N846" s="13">
        <v>-0.44687011837959301</v>
      </c>
    </row>
    <row r="847" spans="1:14" x14ac:dyDescent="0.35">
      <c r="A847" s="89"/>
      <c r="B847" s="11" t="s">
        <v>21</v>
      </c>
      <c r="C847" s="12">
        <v>0.53289473684210531</v>
      </c>
      <c r="D847" s="11">
        <v>0.32401315789473678</v>
      </c>
      <c r="E847" s="12">
        <v>0.12171052631578951</v>
      </c>
      <c r="F847" s="11">
        <v>2.1381578947368422E-2</v>
      </c>
      <c r="G847" s="12">
        <v>324</v>
      </c>
      <c r="H847" s="11">
        <v>197</v>
      </c>
      <c r="I847" s="12">
        <v>74</v>
      </c>
      <c r="J847" s="11">
        <v>13</v>
      </c>
      <c r="K847" s="35">
        <v>608</v>
      </c>
      <c r="L847" s="11" t="s">
        <v>36</v>
      </c>
      <c r="M847" s="83"/>
      <c r="N847" s="13">
        <v>-0.94032263755798295</v>
      </c>
    </row>
    <row r="848" spans="1:14" ht="16" thickBot="1" x14ac:dyDescent="0.4">
      <c r="A848" s="90"/>
      <c r="B848" s="14" t="s">
        <v>381</v>
      </c>
      <c r="C848" s="15">
        <v>0.26785714285714279</v>
      </c>
      <c r="D848" s="14">
        <v>0.5625</v>
      </c>
      <c r="E848" s="15">
        <v>0.13690476190476189</v>
      </c>
      <c r="F848" s="14">
        <v>3.273809523809524E-2</v>
      </c>
      <c r="G848" s="15">
        <v>90</v>
      </c>
      <c r="H848" s="14">
        <v>189</v>
      </c>
      <c r="I848" s="15">
        <v>46</v>
      </c>
      <c r="J848" s="14">
        <v>11</v>
      </c>
      <c r="K848" s="36">
        <v>336</v>
      </c>
      <c r="L848" s="14" t="s">
        <v>36</v>
      </c>
      <c r="M848" s="84"/>
      <c r="N848" s="16">
        <v>-0.79507464170455899</v>
      </c>
    </row>
    <row r="849" spans="1:14" x14ac:dyDescent="0.35">
      <c r="A849" s="91" t="s">
        <v>502</v>
      </c>
      <c r="B849" s="17" t="s">
        <v>29</v>
      </c>
      <c r="C849" s="18">
        <v>0.46820809248554912</v>
      </c>
      <c r="D849" s="17">
        <v>0.47398843930635842</v>
      </c>
      <c r="E849" s="18">
        <v>4.238921001926782E-2</v>
      </c>
      <c r="F849" s="17">
        <v>1.5414258188824659E-2</v>
      </c>
      <c r="G849" s="18">
        <v>243</v>
      </c>
      <c r="H849" s="17">
        <v>246</v>
      </c>
      <c r="I849" s="18">
        <v>22</v>
      </c>
      <c r="J849" s="17">
        <v>8</v>
      </c>
      <c r="K849" s="37">
        <v>519</v>
      </c>
      <c r="L849" s="17" t="s">
        <v>19</v>
      </c>
      <c r="M849" s="85">
        <v>-0.47179317474365201</v>
      </c>
      <c r="N849" s="19">
        <v>0.40078750252723699</v>
      </c>
    </row>
    <row r="850" spans="1:14" x14ac:dyDescent="0.35">
      <c r="A850" s="92"/>
      <c r="B850" s="20" t="s">
        <v>25</v>
      </c>
      <c r="C850" s="21">
        <v>0.44736842105263158</v>
      </c>
      <c r="D850" s="20">
        <v>0.43567251461988299</v>
      </c>
      <c r="E850" s="21">
        <v>8.1871345029239762E-2</v>
      </c>
      <c r="F850" s="20">
        <v>3.5087719298245612E-2</v>
      </c>
      <c r="G850" s="21">
        <v>153</v>
      </c>
      <c r="H850" s="20">
        <v>149</v>
      </c>
      <c r="I850" s="21">
        <v>28</v>
      </c>
      <c r="J850" s="20">
        <v>12</v>
      </c>
      <c r="K850" s="38">
        <v>342</v>
      </c>
      <c r="L850" s="20" t="s">
        <v>19</v>
      </c>
      <c r="M850" s="86"/>
      <c r="N850" s="22">
        <v>0.34686681628227201</v>
      </c>
    </row>
    <row r="851" spans="1:14" x14ac:dyDescent="0.35">
      <c r="A851" s="92"/>
      <c r="B851" s="20" t="s">
        <v>63</v>
      </c>
      <c r="C851" s="21">
        <v>0.39830508474576271</v>
      </c>
      <c r="D851" s="20">
        <v>0.4364406779661017</v>
      </c>
      <c r="E851" s="21">
        <v>0.15677966101694921</v>
      </c>
      <c r="F851" s="20">
        <v>8.4745762711864406E-3</v>
      </c>
      <c r="G851" s="21">
        <v>94</v>
      </c>
      <c r="H851" s="20">
        <v>103</v>
      </c>
      <c r="I851" s="21">
        <v>37</v>
      </c>
      <c r="J851" s="20">
        <v>2</v>
      </c>
      <c r="K851" s="38">
        <v>236</v>
      </c>
      <c r="L851" s="20" t="s">
        <v>19</v>
      </c>
      <c r="M851" s="86"/>
      <c r="N851" s="22">
        <v>-0.103136822581291</v>
      </c>
    </row>
    <row r="852" spans="1:14" x14ac:dyDescent="0.35">
      <c r="A852" s="92"/>
      <c r="B852" s="20" t="s">
        <v>380</v>
      </c>
      <c r="C852" s="21">
        <v>0.62531645569620253</v>
      </c>
      <c r="D852" s="20">
        <v>0.28607594936708858</v>
      </c>
      <c r="E852" s="21">
        <v>7.848101265822785E-2</v>
      </c>
      <c r="F852" s="20">
        <v>1.0126582278481009E-2</v>
      </c>
      <c r="G852" s="21">
        <v>247</v>
      </c>
      <c r="H852" s="20">
        <v>113</v>
      </c>
      <c r="I852" s="21">
        <v>31</v>
      </c>
      <c r="J852" s="20">
        <v>4</v>
      </c>
      <c r="K852" s="38">
        <v>395</v>
      </c>
      <c r="L852" s="20" t="s">
        <v>19</v>
      </c>
      <c r="M852" s="86"/>
      <c r="N852" s="22">
        <v>0.37186053395271301</v>
      </c>
    </row>
    <row r="853" spans="1:14" x14ac:dyDescent="0.35">
      <c r="A853" s="92"/>
      <c r="B853" s="20" t="s">
        <v>11</v>
      </c>
      <c r="C853" s="21">
        <v>0.7142857142857143</v>
      </c>
      <c r="D853" s="20">
        <v>0.22222222222222221</v>
      </c>
      <c r="E853" s="21">
        <v>4.2328042328042333E-2</v>
      </c>
      <c r="F853" s="20">
        <v>2.1164021164021159E-2</v>
      </c>
      <c r="G853" s="21">
        <v>405</v>
      </c>
      <c r="H853" s="20">
        <v>126</v>
      </c>
      <c r="I853" s="21">
        <v>24</v>
      </c>
      <c r="J853" s="20">
        <v>12</v>
      </c>
      <c r="K853" s="38">
        <v>567</v>
      </c>
      <c r="L853" s="20" t="s">
        <v>19</v>
      </c>
      <c r="M853" s="86"/>
      <c r="N853" s="22">
        <v>0.51481544971466098</v>
      </c>
    </row>
    <row r="854" spans="1:14" x14ac:dyDescent="0.35">
      <c r="A854" s="92"/>
      <c r="B854" s="20" t="s">
        <v>21</v>
      </c>
      <c r="C854" s="21">
        <v>0.3125</v>
      </c>
      <c r="D854" s="20">
        <v>0.56414473684210531</v>
      </c>
      <c r="E854" s="21">
        <v>5.0986842105263157E-2</v>
      </c>
      <c r="F854" s="20">
        <v>7.2368421052631582E-2</v>
      </c>
      <c r="G854" s="21">
        <v>190</v>
      </c>
      <c r="H854" s="20">
        <v>343</v>
      </c>
      <c r="I854" s="21">
        <v>31</v>
      </c>
      <c r="J854" s="20">
        <v>44</v>
      </c>
      <c r="K854" s="38">
        <v>608</v>
      </c>
      <c r="L854" s="20" t="s">
        <v>19</v>
      </c>
      <c r="M854" s="86"/>
      <c r="N854" s="22">
        <v>0.55686336755752597</v>
      </c>
    </row>
    <row r="855" spans="1:14" ht="16" thickBot="1" x14ac:dyDescent="0.4">
      <c r="A855" s="93"/>
      <c r="B855" s="26" t="s">
        <v>381</v>
      </c>
      <c r="C855" s="27">
        <v>0.57440476190476186</v>
      </c>
      <c r="D855" s="26">
        <v>0.32440476190476192</v>
      </c>
      <c r="E855" s="27">
        <v>9.8214285714285712E-2</v>
      </c>
      <c r="F855" s="26">
        <v>2.976190476190476E-3</v>
      </c>
      <c r="G855" s="27">
        <v>193</v>
      </c>
      <c r="H855" s="26">
        <v>109</v>
      </c>
      <c r="I855" s="27">
        <v>33</v>
      </c>
      <c r="J855" s="26">
        <v>1</v>
      </c>
      <c r="K855" s="39">
        <v>336</v>
      </c>
      <c r="L855" s="26" t="s">
        <v>19</v>
      </c>
      <c r="M855" s="87"/>
      <c r="N855" s="28">
        <v>0.45462217926979098</v>
      </c>
    </row>
    <row r="856" spans="1:14" x14ac:dyDescent="0.35">
      <c r="A856" s="88" t="s">
        <v>503</v>
      </c>
      <c r="B856" s="8" t="s">
        <v>29</v>
      </c>
      <c r="C856" s="9">
        <v>0.39113680154142583</v>
      </c>
      <c r="D856" s="8">
        <v>0.41233140655105971</v>
      </c>
      <c r="E856" s="9">
        <v>0.12524084778420039</v>
      </c>
      <c r="F856" s="8">
        <v>7.1290944123314062E-2</v>
      </c>
      <c r="G856" s="9">
        <v>203</v>
      </c>
      <c r="H856" s="8">
        <v>214</v>
      </c>
      <c r="I856" s="9">
        <v>65</v>
      </c>
      <c r="J856" s="8">
        <v>37</v>
      </c>
      <c r="K856" s="34">
        <v>519</v>
      </c>
      <c r="L856" s="8" t="s">
        <v>23</v>
      </c>
      <c r="M856" s="82">
        <v>-0.193799763917923</v>
      </c>
      <c r="N856" s="10">
        <v>0.13448373973369601</v>
      </c>
    </row>
    <row r="857" spans="1:14" x14ac:dyDescent="0.35">
      <c r="A857" s="89"/>
      <c r="B857" s="11" t="s">
        <v>25</v>
      </c>
      <c r="C857" s="12">
        <v>0.44444444444444442</v>
      </c>
      <c r="D857" s="11">
        <v>0.40058479532163738</v>
      </c>
      <c r="E857" s="12">
        <v>0.12865497076023391</v>
      </c>
      <c r="F857" s="11">
        <v>2.6315789473684209E-2</v>
      </c>
      <c r="G857" s="12">
        <v>152</v>
      </c>
      <c r="H857" s="11">
        <v>137</v>
      </c>
      <c r="I857" s="12">
        <v>44</v>
      </c>
      <c r="J857" s="11">
        <v>9</v>
      </c>
      <c r="K857" s="35">
        <v>342</v>
      </c>
      <c r="L857" s="11" t="s">
        <v>23</v>
      </c>
      <c r="M857" s="83"/>
      <c r="N857" s="13">
        <v>0.172397896647453</v>
      </c>
    </row>
    <row r="858" spans="1:14" x14ac:dyDescent="0.35">
      <c r="A858" s="89"/>
      <c r="B858" s="11" t="s">
        <v>63</v>
      </c>
      <c r="C858" s="12">
        <v>0.23305084745762711</v>
      </c>
      <c r="D858" s="11">
        <v>0.58050847457627119</v>
      </c>
      <c r="E858" s="12">
        <v>0.1864406779661017</v>
      </c>
      <c r="F858" s="11">
        <v>0</v>
      </c>
      <c r="G858" s="12">
        <v>55</v>
      </c>
      <c r="H858" s="11">
        <v>137</v>
      </c>
      <c r="I858" s="12">
        <v>44</v>
      </c>
      <c r="J858" s="11">
        <v>0</v>
      </c>
      <c r="K858" s="35">
        <v>236</v>
      </c>
      <c r="L858" s="11" t="s">
        <v>23</v>
      </c>
      <c r="M858" s="83"/>
      <c r="N858" s="13">
        <v>-0.37580674886703502</v>
      </c>
    </row>
    <row r="859" spans="1:14" x14ac:dyDescent="0.35">
      <c r="A859" s="89"/>
      <c r="B859" s="11" t="s">
        <v>380</v>
      </c>
      <c r="C859" s="12">
        <v>0.48607594936708859</v>
      </c>
      <c r="D859" s="11">
        <v>0.36962025316455699</v>
      </c>
      <c r="E859" s="12">
        <v>0.14430379746835439</v>
      </c>
      <c r="F859" s="11">
        <v>0</v>
      </c>
      <c r="G859" s="12">
        <v>192</v>
      </c>
      <c r="H859" s="11">
        <v>146</v>
      </c>
      <c r="I859" s="12">
        <v>57</v>
      </c>
      <c r="J859" s="11">
        <v>0</v>
      </c>
      <c r="K859" s="35">
        <v>395</v>
      </c>
      <c r="L859" s="11" t="s">
        <v>23</v>
      </c>
      <c r="M859" s="83"/>
      <c r="N859" s="13">
        <v>4.8528533428907401E-2</v>
      </c>
    </row>
    <row r="860" spans="1:14" x14ac:dyDescent="0.35">
      <c r="A860" s="89"/>
      <c r="B860" s="11" t="s">
        <v>11</v>
      </c>
      <c r="C860" s="12">
        <v>0.58730158730158732</v>
      </c>
      <c r="D860" s="11">
        <v>0.31393298059964719</v>
      </c>
      <c r="E860" s="12">
        <v>9.3474426807760136E-2</v>
      </c>
      <c r="F860" s="11">
        <v>5.2910052910052907E-3</v>
      </c>
      <c r="G860" s="12">
        <v>333</v>
      </c>
      <c r="H860" s="11">
        <v>178</v>
      </c>
      <c r="I860" s="12">
        <v>53</v>
      </c>
      <c r="J860" s="11">
        <v>3</v>
      </c>
      <c r="K860" s="35">
        <v>567</v>
      </c>
      <c r="L860" s="11" t="s">
        <v>23</v>
      </c>
      <c r="M860" s="83"/>
      <c r="N860" s="13">
        <v>0.26157525181770303</v>
      </c>
    </row>
    <row r="861" spans="1:14" x14ac:dyDescent="0.35">
      <c r="A861" s="89"/>
      <c r="B861" s="11" t="s">
        <v>21</v>
      </c>
      <c r="C861" s="12">
        <v>0.36019736842105271</v>
      </c>
      <c r="D861" s="11">
        <v>0.47368421052631582</v>
      </c>
      <c r="E861" s="12">
        <v>0.1414473684210526</v>
      </c>
      <c r="F861" s="11">
        <v>2.4671052631578951E-2</v>
      </c>
      <c r="G861" s="12">
        <v>219</v>
      </c>
      <c r="H861" s="11">
        <v>288</v>
      </c>
      <c r="I861" s="12">
        <v>86</v>
      </c>
      <c r="J861" s="11">
        <v>15</v>
      </c>
      <c r="K861" s="35">
        <v>608</v>
      </c>
      <c r="L861" s="11" t="s">
        <v>23</v>
      </c>
      <c r="M861" s="83"/>
      <c r="N861" s="13">
        <v>0.29450175166130099</v>
      </c>
    </row>
    <row r="862" spans="1:14" ht="16" thickBot="1" x14ac:dyDescent="0.4">
      <c r="A862" s="90"/>
      <c r="B862" s="14" t="s">
        <v>381</v>
      </c>
      <c r="C862" s="15">
        <v>0.50297619047619047</v>
      </c>
      <c r="D862" s="14">
        <v>0.34523809523809518</v>
      </c>
      <c r="E862" s="15">
        <v>0.14880952380952381</v>
      </c>
      <c r="F862" s="14">
        <v>2.976190476190476E-3</v>
      </c>
      <c r="G862" s="15">
        <v>169</v>
      </c>
      <c r="H862" s="14">
        <v>116</v>
      </c>
      <c r="I862" s="15">
        <v>50</v>
      </c>
      <c r="J862" s="14">
        <v>1</v>
      </c>
      <c r="K862" s="36">
        <v>336</v>
      </c>
      <c r="L862" s="14" t="s">
        <v>23</v>
      </c>
      <c r="M862" s="84"/>
      <c r="N862" s="16">
        <v>0.13256746530532801</v>
      </c>
    </row>
    <row r="863" spans="1:14" x14ac:dyDescent="0.35">
      <c r="A863" s="91" t="s">
        <v>504</v>
      </c>
      <c r="B863" s="17" t="s">
        <v>29</v>
      </c>
      <c r="C863" s="18">
        <v>0.52793834296724473</v>
      </c>
      <c r="D863" s="17">
        <v>0.43737957610789979</v>
      </c>
      <c r="E863" s="18">
        <v>3.8535645472061661E-3</v>
      </c>
      <c r="F863" s="17">
        <v>3.0828516377649329E-2</v>
      </c>
      <c r="G863" s="18">
        <v>274</v>
      </c>
      <c r="H863" s="17">
        <v>227</v>
      </c>
      <c r="I863" s="18">
        <v>2</v>
      </c>
      <c r="J863" s="17">
        <v>16</v>
      </c>
      <c r="K863" s="37">
        <v>519</v>
      </c>
      <c r="L863" s="17" t="s">
        <v>28</v>
      </c>
      <c r="M863" s="85">
        <v>-0.82057684659957897</v>
      </c>
      <c r="N863" s="19">
        <v>0.60081756114959695</v>
      </c>
    </row>
    <row r="864" spans="1:14" x14ac:dyDescent="0.35">
      <c r="A864" s="92"/>
      <c r="B864" s="20" t="s">
        <v>25</v>
      </c>
      <c r="C864" s="21">
        <v>0.61695906432748537</v>
      </c>
      <c r="D864" s="20">
        <v>0.31578947368421051</v>
      </c>
      <c r="E864" s="21">
        <v>1.461988304093567E-2</v>
      </c>
      <c r="F864" s="20">
        <v>5.2631578947368418E-2</v>
      </c>
      <c r="G864" s="21">
        <v>211</v>
      </c>
      <c r="H864" s="20">
        <v>108</v>
      </c>
      <c r="I864" s="21">
        <v>5</v>
      </c>
      <c r="J864" s="20">
        <v>18</v>
      </c>
      <c r="K864" s="38">
        <v>342</v>
      </c>
      <c r="L864" s="20" t="s">
        <v>28</v>
      </c>
      <c r="M864" s="86"/>
      <c r="N864" s="22">
        <v>0.65832453966140703</v>
      </c>
    </row>
    <row r="865" spans="1:14" x14ac:dyDescent="0.35">
      <c r="A865" s="92"/>
      <c r="B865" s="20" t="s">
        <v>63</v>
      </c>
      <c r="C865" s="21">
        <v>0.72033898305084743</v>
      </c>
      <c r="D865" s="20">
        <v>0.22457627118644069</v>
      </c>
      <c r="E865" s="21">
        <v>2.1186440677966101E-2</v>
      </c>
      <c r="F865" s="20">
        <v>3.3898305084745763E-2</v>
      </c>
      <c r="G865" s="21">
        <v>170</v>
      </c>
      <c r="H865" s="20">
        <v>53</v>
      </c>
      <c r="I865" s="21">
        <v>5</v>
      </c>
      <c r="J865" s="20">
        <v>8</v>
      </c>
      <c r="K865" s="38">
        <v>236</v>
      </c>
      <c r="L865" s="20" t="s">
        <v>28</v>
      </c>
      <c r="M865" s="86"/>
      <c r="N865" s="22">
        <v>0.25793224573135398</v>
      </c>
    </row>
    <row r="866" spans="1:14" x14ac:dyDescent="0.35">
      <c r="A866" s="92"/>
      <c r="B866" s="20" t="s">
        <v>380</v>
      </c>
      <c r="C866" s="21">
        <v>0.79240506329113924</v>
      </c>
      <c r="D866" s="20">
        <v>0.16202531645569621</v>
      </c>
      <c r="E866" s="21">
        <v>3.2911392405063293E-2</v>
      </c>
      <c r="F866" s="20">
        <v>1.2658227848101271E-2</v>
      </c>
      <c r="G866" s="21">
        <v>313</v>
      </c>
      <c r="H866" s="20">
        <v>64</v>
      </c>
      <c r="I866" s="21">
        <v>13</v>
      </c>
      <c r="J866" s="20">
        <v>5</v>
      </c>
      <c r="K866" s="38">
        <v>395</v>
      </c>
      <c r="L866" s="20" t="s">
        <v>28</v>
      </c>
      <c r="M866" s="86"/>
      <c r="N866" s="22">
        <v>0.80232131481170699</v>
      </c>
    </row>
    <row r="867" spans="1:14" x14ac:dyDescent="0.35">
      <c r="A867" s="92"/>
      <c r="B867" s="20" t="s">
        <v>11</v>
      </c>
      <c r="C867" s="21">
        <v>0.81834215167548496</v>
      </c>
      <c r="D867" s="20">
        <v>0.14109347442680781</v>
      </c>
      <c r="E867" s="21">
        <v>1.058201058201058E-2</v>
      </c>
      <c r="F867" s="20">
        <v>2.9982363315696651E-2</v>
      </c>
      <c r="G867" s="21">
        <v>464</v>
      </c>
      <c r="H867" s="20">
        <v>80</v>
      </c>
      <c r="I867" s="21">
        <v>6</v>
      </c>
      <c r="J867" s="20">
        <v>17</v>
      </c>
      <c r="K867" s="38">
        <v>567</v>
      </c>
      <c r="L867" s="20" t="s">
        <v>28</v>
      </c>
      <c r="M867" s="86"/>
      <c r="N867" s="22">
        <v>0.85926479101180997</v>
      </c>
    </row>
    <row r="868" spans="1:14" x14ac:dyDescent="0.35">
      <c r="A868" s="92"/>
      <c r="B868" s="20" t="s">
        <v>21</v>
      </c>
      <c r="C868" s="21">
        <v>0.37171052631578949</v>
      </c>
      <c r="D868" s="20">
        <v>0.50164473684210531</v>
      </c>
      <c r="E868" s="21">
        <v>1.6447368421052631E-2</v>
      </c>
      <c r="F868" s="20">
        <v>0.1101973684210526</v>
      </c>
      <c r="G868" s="21">
        <v>226</v>
      </c>
      <c r="H868" s="20">
        <v>305</v>
      </c>
      <c r="I868" s="21">
        <v>10</v>
      </c>
      <c r="J868" s="20">
        <v>67</v>
      </c>
      <c r="K868" s="38">
        <v>608</v>
      </c>
      <c r="L868" s="20" t="s">
        <v>28</v>
      </c>
      <c r="M868" s="86"/>
      <c r="N868" s="22">
        <v>0.90447396039962802</v>
      </c>
    </row>
    <row r="869" spans="1:14" ht="16" thickBot="1" x14ac:dyDescent="0.4">
      <c r="A869" s="93"/>
      <c r="B869" s="26" t="s">
        <v>381</v>
      </c>
      <c r="C869" s="27">
        <v>0.66369047619047616</v>
      </c>
      <c r="D869" s="26">
        <v>0.23214285714285721</v>
      </c>
      <c r="E869" s="27">
        <v>1.785714285714286E-2</v>
      </c>
      <c r="F869" s="26">
        <v>8.6309523809523808E-2</v>
      </c>
      <c r="G869" s="27">
        <v>223</v>
      </c>
      <c r="H869" s="26">
        <v>78</v>
      </c>
      <c r="I869" s="27">
        <v>6</v>
      </c>
      <c r="J869" s="26">
        <v>29</v>
      </c>
      <c r="K869" s="39">
        <v>336</v>
      </c>
      <c r="L869" s="26" t="s">
        <v>28</v>
      </c>
      <c r="M869" s="87"/>
      <c r="N869" s="28">
        <v>0.754846692085266</v>
      </c>
    </row>
    <row r="870" spans="1:14" x14ac:dyDescent="0.35">
      <c r="A870" s="88" t="s">
        <v>505</v>
      </c>
      <c r="B870" s="8" t="s">
        <v>29</v>
      </c>
      <c r="C870" s="9">
        <v>0.22543352601156069</v>
      </c>
      <c r="D870" s="8">
        <v>0.4913294797687861</v>
      </c>
      <c r="E870" s="9">
        <v>0.19845857418111751</v>
      </c>
      <c r="F870" s="8">
        <v>8.477842003853564E-2</v>
      </c>
      <c r="G870" s="9">
        <v>117</v>
      </c>
      <c r="H870" s="8">
        <v>255</v>
      </c>
      <c r="I870" s="9">
        <v>103</v>
      </c>
      <c r="J870" s="8">
        <v>44</v>
      </c>
      <c r="K870" s="34">
        <v>519</v>
      </c>
      <c r="L870" s="8" t="s">
        <v>36</v>
      </c>
      <c r="M870" s="82">
        <v>0.90649592876434304</v>
      </c>
      <c r="N870" s="10">
        <v>-0.93827289342880205</v>
      </c>
    </row>
    <row r="871" spans="1:14" x14ac:dyDescent="0.35">
      <c r="A871" s="89"/>
      <c r="B871" s="11" t="s">
        <v>25</v>
      </c>
      <c r="C871" s="12">
        <v>0.1725146198830409</v>
      </c>
      <c r="D871" s="11">
        <v>0.61988304093567248</v>
      </c>
      <c r="E871" s="12">
        <v>0.18421052631578949</v>
      </c>
      <c r="F871" s="11">
        <v>2.3391812865497071E-2</v>
      </c>
      <c r="G871" s="12">
        <v>59</v>
      </c>
      <c r="H871" s="11">
        <v>212</v>
      </c>
      <c r="I871" s="12">
        <v>63</v>
      </c>
      <c r="J871" s="11">
        <v>8</v>
      </c>
      <c r="K871" s="35">
        <v>342</v>
      </c>
      <c r="L871" s="11" t="s">
        <v>36</v>
      </c>
      <c r="M871" s="83"/>
      <c r="N871" s="13">
        <v>-0.87328606843948398</v>
      </c>
    </row>
    <row r="872" spans="1:14" x14ac:dyDescent="0.35">
      <c r="A872" s="89"/>
      <c r="B872" s="11" t="s">
        <v>63</v>
      </c>
      <c r="C872" s="12">
        <v>5.5084745762711863E-2</v>
      </c>
      <c r="D872" s="11">
        <v>0.54661016949152541</v>
      </c>
      <c r="E872" s="12">
        <v>6.3559322033898302E-2</v>
      </c>
      <c r="F872" s="11">
        <v>0.3347457627118644</v>
      </c>
      <c r="G872" s="12">
        <v>13</v>
      </c>
      <c r="H872" s="11">
        <v>129</v>
      </c>
      <c r="I872" s="12">
        <v>15</v>
      </c>
      <c r="J872" s="11">
        <v>79</v>
      </c>
      <c r="K872" s="35">
        <v>236</v>
      </c>
      <c r="L872" s="11" t="s">
        <v>36</v>
      </c>
      <c r="M872" s="83"/>
      <c r="N872" s="13">
        <v>-0.93994492292404197</v>
      </c>
    </row>
    <row r="873" spans="1:14" x14ac:dyDescent="0.35">
      <c r="A873" s="89"/>
      <c r="B873" s="11" t="s">
        <v>380</v>
      </c>
      <c r="C873" s="12">
        <v>0.1493670886075949</v>
      </c>
      <c r="D873" s="11">
        <v>0.62278481012658227</v>
      </c>
      <c r="E873" s="12">
        <v>0.19746835443037969</v>
      </c>
      <c r="F873" s="11">
        <v>3.037974683544304E-2</v>
      </c>
      <c r="G873" s="12">
        <v>59</v>
      </c>
      <c r="H873" s="11">
        <v>246</v>
      </c>
      <c r="I873" s="12">
        <v>78</v>
      </c>
      <c r="J873" s="11">
        <v>12</v>
      </c>
      <c r="K873" s="35">
        <v>395</v>
      </c>
      <c r="L873" s="11" t="s">
        <v>36</v>
      </c>
      <c r="M873" s="83"/>
      <c r="N873" s="13">
        <v>-0.78115403652191195</v>
      </c>
    </row>
    <row r="874" spans="1:14" x14ac:dyDescent="0.35">
      <c r="A874" s="89"/>
      <c r="B874" s="11" t="s">
        <v>11</v>
      </c>
      <c r="C874" s="12">
        <v>0.11816578483245151</v>
      </c>
      <c r="D874" s="11">
        <v>0.62081128747795411</v>
      </c>
      <c r="E874" s="12">
        <v>0.1693121693121693</v>
      </c>
      <c r="F874" s="11">
        <v>9.1710758377425039E-2</v>
      </c>
      <c r="G874" s="12">
        <v>67</v>
      </c>
      <c r="H874" s="11">
        <v>352</v>
      </c>
      <c r="I874" s="12">
        <v>96</v>
      </c>
      <c r="J874" s="11">
        <v>52</v>
      </c>
      <c r="K874" s="35">
        <v>567</v>
      </c>
      <c r="L874" s="11" t="s">
        <v>36</v>
      </c>
      <c r="M874" s="83"/>
      <c r="N874" s="13">
        <v>-0.83444327116012595</v>
      </c>
    </row>
    <row r="875" spans="1:14" x14ac:dyDescent="0.35">
      <c r="A875" s="89"/>
      <c r="B875" s="11" t="s">
        <v>21</v>
      </c>
      <c r="C875" s="12">
        <v>0.49835526315789469</v>
      </c>
      <c r="D875" s="11">
        <v>0.34868421052631582</v>
      </c>
      <c r="E875" s="12">
        <v>0.14473684210526319</v>
      </c>
      <c r="F875" s="11">
        <v>8.2236842105263153E-3</v>
      </c>
      <c r="G875" s="12">
        <v>303</v>
      </c>
      <c r="H875" s="11">
        <v>212</v>
      </c>
      <c r="I875" s="12">
        <v>88</v>
      </c>
      <c r="J875" s="11">
        <v>5</v>
      </c>
      <c r="K875" s="35">
        <v>608</v>
      </c>
      <c r="L875" s="11" t="s">
        <v>36</v>
      </c>
      <c r="M875" s="83"/>
      <c r="N875" s="13">
        <v>-0.92965495586395297</v>
      </c>
    </row>
    <row r="876" spans="1:14" ht="16" thickBot="1" x14ac:dyDescent="0.4">
      <c r="A876" s="90"/>
      <c r="B876" s="14" t="s">
        <v>381</v>
      </c>
      <c r="C876" s="15">
        <v>0.1517857142857143</v>
      </c>
      <c r="D876" s="14">
        <v>0.69047619047619047</v>
      </c>
      <c r="E876" s="15">
        <v>0.14285714285714279</v>
      </c>
      <c r="F876" s="14">
        <v>1.488095238095238E-2</v>
      </c>
      <c r="G876" s="15">
        <v>51</v>
      </c>
      <c r="H876" s="14">
        <v>232</v>
      </c>
      <c r="I876" s="15">
        <v>48</v>
      </c>
      <c r="J876" s="14">
        <v>5</v>
      </c>
      <c r="K876" s="36">
        <v>336</v>
      </c>
      <c r="L876" s="14" t="s">
        <v>36</v>
      </c>
      <c r="M876" s="84"/>
      <c r="N876" s="16">
        <v>-0.88646024465560902</v>
      </c>
    </row>
    <row r="877" spans="1:14" x14ac:dyDescent="0.35">
      <c r="A877" s="91" t="s">
        <v>506</v>
      </c>
      <c r="B877" s="17" t="s">
        <v>29</v>
      </c>
      <c r="C877" s="18">
        <v>0.50096339113680155</v>
      </c>
      <c r="D877" s="17">
        <v>0.43159922928709049</v>
      </c>
      <c r="E877" s="18">
        <v>3.2755298651252408E-2</v>
      </c>
      <c r="F877" s="17">
        <v>3.4682080924855488E-2</v>
      </c>
      <c r="G877" s="18">
        <v>260</v>
      </c>
      <c r="H877" s="17">
        <v>224</v>
      </c>
      <c r="I877" s="18">
        <v>17</v>
      </c>
      <c r="J877" s="17">
        <v>18</v>
      </c>
      <c r="K877" s="37">
        <v>519</v>
      </c>
      <c r="L877" s="17" t="s">
        <v>19</v>
      </c>
      <c r="M877" s="85">
        <v>-0.59728765487670898</v>
      </c>
      <c r="N877" s="19">
        <v>0.46630379557609603</v>
      </c>
    </row>
    <row r="878" spans="1:14" x14ac:dyDescent="0.35">
      <c r="A878" s="92"/>
      <c r="B878" s="20" t="s">
        <v>25</v>
      </c>
      <c r="C878" s="21">
        <v>0.56140350877192979</v>
      </c>
      <c r="D878" s="20">
        <v>0.32456140350877188</v>
      </c>
      <c r="E878" s="21">
        <v>5.8479532163742687E-2</v>
      </c>
      <c r="F878" s="20">
        <v>5.5555555555555552E-2</v>
      </c>
      <c r="G878" s="21">
        <v>192</v>
      </c>
      <c r="H878" s="20">
        <v>111</v>
      </c>
      <c r="I878" s="21">
        <v>20</v>
      </c>
      <c r="J878" s="20">
        <v>19</v>
      </c>
      <c r="K878" s="38">
        <v>342</v>
      </c>
      <c r="L878" s="20" t="s">
        <v>19</v>
      </c>
      <c r="M878" s="86"/>
      <c r="N878" s="22">
        <v>0.55201387405395497</v>
      </c>
    </row>
    <row r="879" spans="1:14" x14ac:dyDescent="0.35">
      <c r="A879" s="92"/>
      <c r="B879" s="20" t="s">
        <v>63</v>
      </c>
      <c r="C879" s="21">
        <v>0.56355932203389836</v>
      </c>
      <c r="D879" s="20">
        <v>0.24576271186440679</v>
      </c>
      <c r="E879" s="21">
        <v>0.1271186440677966</v>
      </c>
      <c r="F879" s="20">
        <v>6.3559322033898302E-2</v>
      </c>
      <c r="G879" s="21">
        <v>133</v>
      </c>
      <c r="H879" s="20">
        <v>58</v>
      </c>
      <c r="I879" s="21">
        <v>30</v>
      </c>
      <c r="J879" s="20">
        <v>15</v>
      </c>
      <c r="K879" s="38">
        <v>236</v>
      </c>
      <c r="L879" s="20" t="s">
        <v>19</v>
      </c>
      <c r="M879" s="86"/>
      <c r="N879" s="22">
        <v>8.2570597529411302E-2</v>
      </c>
    </row>
    <row r="880" spans="1:14" x14ac:dyDescent="0.35">
      <c r="A880" s="92"/>
      <c r="B880" s="20" t="s">
        <v>380</v>
      </c>
      <c r="C880" s="21">
        <v>0.66835443037974684</v>
      </c>
      <c r="D880" s="20">
        <v>0.22025316455696201</v>
      </c>
      <c r="E880" s="21">
        <v>7.3417721518987344E-2</v>
      </c>
      <c r="F880" s="20">
        <v>3.7974683544303799E-2</v>
      </c>
      <c r="G880" s="21">
        <v>264</v>
      </c>
      <c r="H880" s="20">
        <v>87</v>
      </c>
      <c r="I880" s="21">
        <v>29</v>
      </c>
      <c r="J880" s="20">
        <v>15</v>
      </c>
      <c r="K880" s="38">
        <v>395</v>
      </c>
      <c r="L880" s="20" t="s">
        <v>19</v>
      </c>
      <c r="M880" s="86"/>
      <c r="N880" s="22">
        <v>0.44292688369750999</v>
      </c>
    </row>
    <row r="881" spans="1:14" x14ac:dyDescent="0.35">
      <c r="A881" s="92"/>
      <c r="B881" s="20" t="s">
        <v>11</v>
      </c>
      <c r="C881" s="21">
        <v>0.76543209876543206</v>
      </c>
      <c r="D881" s="20">
        <v>0.17460317460317459</v>
      </c>
      <c r="E881" s="21">
        <v>2.1164021164021159E-2</v>
      </c>
      <c r="F881" s="20">
        <v>3.8800705467372132E-2</v>
      </c>
      <c r="G881" s="21">
        <v>434</v>
      </c>
      <c r="H881" s="20">
        <v>99</v>
      </c>
      <c r="I881" s="21">
        <v>12</v>
      </c>
      <c r="J881" s="20">
        <v>22</v>
      </c>
      <c r="K881" s="38">
        <v>567</v>
      </c>
      <c r="L881" s="20" t="s">
        <v>19</v>
      </c>
      <c r="M881" s="86"/>
      <c r="N881" s="22">
        <v>0.56110197305679299</v>
      </c>
    </row>
    <row r="882" spans="1:14" x14ac:dyDescent="0.35">
      <c r="A882" s="92"/>
      <c r="B882" s="20" t="s">
        <v>21</v>
      </c>
      <c r="C882" s="21">
        <v>0.35690789473684209</v>
      </c>
      <c r="D882" s="20">
        <v>0.57894736842105265</v>
      </c>
      <c r="E882" s="21">
        <v>3.125E-2</v>
      </c>
      <c r="F882" s="20">
        <v>3.2894736842105261E-2</v>
      </c>
      <c r="G882" s="21">
        <v>217</v>
      </c>
      <c r="H882" s="20">
        <v>352</v>
      </c>
      <c r="I882" s="21">
        <v>19</v>
      </c>
      <c r="J882" s="20">
        <v>20</v>
      </c>
      <c r="K882" s="38">
        <v>608</v>
      </c>
      <c r="L882" s="20" t="s">
        <v>19</v>
      </c>
      <c r="M882" s="86"/>
      <c r="N882" s="22">
        <v>0.59415310621261597</v>
      </c>
    </row>
    <row r="883" spans="1:14" ht="16" thickBot="1" x14ac:dyDescent="0.4">
      <c r="A883" s="93"/>
      <c r="B883" s="26" t="s">
        <v>381</v>
      </c>
      <c r="C883" s="27">
        <v>0.73511904761904767</v>
      </c>
      <c r="D883" s="26">
        <v>0.15476190476190479</v>
      </c>
      <c r="E883" s="27">
        <v>5.3571428571428568E-2</v>
      </c>
      <c r="F883" s="26">
        <v>5.6547619047619048E-2</v>
      </c>
      <c r="G883" s="27">
        <v>247</v>
      </c>
      <c r="H883" s="26">
        <v>52</v>
      </c>
      <c r="I883" s="27">
        <v>18</v>
      </c>
      <c r="J883" s="26">
        <v>19</v>
      </c>
      <c r="K883" s="39">
        <v>336</v>
      </c>
      <c r="L883" s="26" t="s">
        <v>19</v>
      </c>
      <c r="M883" s="87"/>
      <c r="N883" s="28">
        <v>0.62679445743560802</v>
      </c>
    </row>
    <row r="884" spans="1:14" x14ac:dyDescent="0.35">
      <c r="A884" s="88" t="s">
        <v>507</v>
      </c>
      <c r="B884" s="8" t="s">
        <v>29</v>
      </c>
      <c r="C884" s="9">
        <v>0.45086705202312138</v>
      </c>
      <c r="D884" s="8">
        <v>0.48362235067437381</v>
      </c>
      <c r="E884" s="9">
        <v>1.926782273603083E-2</v>
      </c>
      <c r="F884" s="8">
        <v>4.6242774566473993E-2</v>
      </c>
      <c r="G884" s="9">
        <v>234</v>
      </c>
      <c r="H884" s="8">
        <v>251</v>
      </c>
      <c r="I884" s="9">
        <v>10</v>
      </c>
      <c r="J884" s="8">
        <v>24</v>
      </c>
      <c r="K884" s="34">
        <v>519</v>
      </c>
      <c r="L884" s="8" t="s">
        <v>19</v>
      </c>
      <c r="M884" s="82">
        <v>-0.546392381191254</v>
      </c>
      <c r="N884" s="10">
        <v>0.38736325502395602</v>
      </c>
    </row>
    <row r="885" spans="1:14" x14ac:dyDescent="0.35">
      <c r="A885" s="89"/>
      <c r="B885" s="11" t="s">
        <v>25</v>
      </c>
      <c r="C885" s="12">
        <v>0.52046783625730997</v>
      </c>
      <c r="D885" s="11">
        <v>0.45029239766081869</v>
      </c>
      <c r="E885" s="12">
        <v>1.1695906432748541E-2</v>
      </c>
      <c r="F885" s="11">
        <v>1.754385964912281E-2</v>
      </c>
      <c r="G885" s="12">
        <v>178</v>
      </c>
      <c r="H885" s="11">
        <v>154</v>
      </c>
      <c r="I885" s="12">
        <v>4</v>
      </c>
      <c r="J885" s="11">
        <v>6</v>
      </c>
      <c r="K885" s="35">
        <v>342</v>
      </c>
      <c r="L885" s="11" t="s">
        <v>19</v>
      </c>
      <c r="M885" s="83"/>
      <c r="N885" s="13">
        <v>0.41054242849349998</v>
      </c>
    </row>
    <row r="886" spans="1:14" x14ac:dyDescent="0.35">
      <c r="A886" s="89"/>
      <c r="B886" s="11" t="s">
        <v>63</v>
      </c>
      <c r="C886" s="12">
        <v>0.51271186440677963</v>
      </c>
      <c r="D886" s="11">
        <v>0.3728813559322034</v>
      </c>
      <c r="E886" s="12">
        <v>0.1059322033898305</v>
      </c>
      <c r="F886" s="11">
        <v>8.4745762711864406E-3</v>
      </c>
      <c r="G886" s="12">
        <v>121</v>
      </c>
      <c r="H886" s="11">
        <v>88</v>
      </c>
      <c r="I886" s="12">
        <v>25</v>
      </c>
      <c r="J886" s="11">
        <v>2</v>
      </c>
      <c r="K886" s="35">
        <v>236</v>
      </c>
      <c r="L886" s="11" t="s">
        <v>19</v>
      </c>
      <c r="M886" s="83"/>
      <c r="N886" s="13">
        <v>1.6930926591157899E-2</v>
      </c>
    </row>
    <row r="887" spans="1:14" x14ac:dyDescent="0.35">
      <c r="A887" s="89"/>
      <c r="B887" s="11" t="s">
        <v>380</v>
      </c>
      <c r="C887" s="12">
        <v>0.71645569620253169</v>
      </c>
      <c r="D887" s="11">
        <v>0.26329113924050629</v>
      </c>
      <c r="E887" s="12">
        <v>1.518987341772152E-2</v>
      </c>
      <c r="F887" s="11">
        <v>5.0632911392405064E-3</v>
      </c>
      <c r="G887" s="12">
        <v>283</v>
      </c>
      <c r="H887" s="11">
        <v>104</v>
      </c>
      <c r="I887" s="12">
        <v>6</v>
      </c>
      <c r="J887" s="11">
        <v>2</v>
      </c>
      <c r="K887" s="35">
        <v>395</v>
      </c>
      <c r="L887" s="11" t="s">
        <v>19</v>
      </c>
      <c r="M887" s="83"/>
      <c r="N887" s="13">
        <v>0.428784340620041</v>
      </c>
    </row>
    <row r="888" spans="1:14" x14ac:dyDescent="0.35">
      <c r="A888" s="89"/>
      <c r="B888" s="11" t="s">
        <v>11</v>
      </c>
      <c r="C888" s="12">
        <v>0.78130511463844798</v>
      </c>
      <c r="D888" s="11">
        <v>0.20458553791887121</v>
      </c>
      <c r="E888" s="12">
        <v>5.2910052910052907E-3</v>
      </c>
      <c r="F888" s="11">
        <v>8.8183421516754845E-3</v>
      </c>
      <c r="G888" s="12">
        <v>443</v>
      </c>
      <c r="H888" s="11">
        <v>116</v>
      </c>
      <c r="I888" s="12">
        <v>3</v>
      </c>
      <c r="J888" s="11">
        <v>5</v>
      </c>
      <c r="K888" s="35">
        <v>567</v>
      </c>
      <c r="L888" s="11" t="s">
        <v>19</v>
      </c>
      <c r="M888" s="83"/>
      <c r="N888" s="13">
        <v>0.56016492843627896</v>
      </c>
    </row>
    <row r="889" spans="1:14" x14ac:dyDescent="0.35">
      <c r="A889" s="89"/>
      <c r="B889" s="11" t="s">
        <v>21</v>
      </c>
      <c r="C889" s="12">
        <v>0.35855263157894729</v>
      </c>
      <c r="D889" s="11">
        <v>0.62828947368421051</v>
      </c>
      <c r="E889" s="12">
        <v>3.2894736842105261E-3</v>
      </c>
      <c r="F889" s="11">
        <v>9.8684210526315784E-3</v>
      </c>
      <c r="G889" s="12">
        <v>218</v>
      </c>
      <c r="H889" s="11">
        <v>382</v>
      </c>
      <c r="I889" s="12">
        <v>2</v>
      </c>
      <c r="J889" s="11">
        <v>6</v>
      </c>
      <c r="K889" s="35">
        <v>608</v>
      </c>
      <c r="L889" s="11" t="s">
        <v>19</v>
      </c>
      <c r="M889" s="83"/>
      <c r="N889" s="13">
        <v>0.54363232851028398</v>
      </c>
    </row>
    <row r="890" spans="1:14" ht="16" thickBot="1" x14ac:dyDescent="0.4">
      <c r="A890" s="90"/>
      <c r="B890" s="14" t="s">
        <v>381</v>
      </c>
      <c r="C890" s="15">
        <v>0.72023809523809523</v>
      </c>
      <c r="D890" s="14">
        <v>0.25892857142857151</v>
      </c>
      <c r="E890" s="15">
        <v>1.1904761904761901E-2</v>
      </c>
      <c r="F890" s="14">
        <v>8.9285714285714281E-3</v>
      </c>
      <c r="G890" s="15">
        <v>242</v>
      </c>
      <c r="H890" s="14">
        <v>87</v>
      </c>
      <c r="I890" s="15">
        <v>4</v>
      </c>
      <c r="J890" s="14">
        <v>3</v>
      </c>
      <c r="K890" s="36">
        <v>336</v>
      </c>
      <c r="L890" s="14" t="s">
        <v>19</v>
      </c>
      <c r="M890" s="84"/>
      <c r="N890" s="16">
        <v>0.690216064453125</v>
      </c>
    </row>
    <row r="891" spans="1:14" x14ac:dyDescent="0.35">
      <c r="A891" s="91" t="s">
        <v>508</v>
      </c>
      <c r="B891" s="17" t="s">
        <v>29</v>
      </c>
      <c r="C891" s="18">
        <v>0.5780346820809249</v>
      </c>
      <c r="D891" s="17">
        <v>0.37186897880539499</v>
      </c>
      <c r="E891" s="18">
        <v>1.926782273603083E-3</v>
      </c>
      <c r="F891" s="17">
        <v>4.8169556840077073E-2</v>
      </c>
      <c r="G891" s="18">
        <v>300</v>
      </c>
      <c r="H891" s="17">
        <v>193</v>
      </c>
      <c r="I891" s="18">
        <v>1</v>
      </c>
      <c r="J891" s="17">
        <v>25</v>
      </c>
      <c r="K891" s="37">
        <v>519</v>
      </c>
      <c r="L891" s="17" t="s">
        <v>10</v>
      </c>
      <c r="M891" s="85">
        <v>-0.917305767536163</v>
      </c>
      <c r="N891" s="19">
        <v>0.91912972927093495</v>
      </c>
    </row>
    <row r="892" spans="1:14" x14ac:dyDescent="0.35">
      <c r="A892" s="92"/>
      <c r="B892" s="20" t="s">
        <v>25</v>
      </c>
      <c r="C892" s="21">
        <v>0.6257309941520468</v>
      </c>
      <c r="D892" s="20">
        <v>0.33333333333333331</v>
      </c>
      <c r="E892" s="21">
        <v>2.046783625730994E-2</v>
      </c>
      <c r="F892" s="20">
        <v>2.046783625730994E-2</v>
      </c>
      <c r="G892" s="21">
        <v>214</v>
      </c>
      <c r="H892" s="20">
        <v>114</v>
      </c>
      <c r="I892" s="21">
        <v>7</v>
      </c>
      <c r="J892" s="20">
        <v>7</v>
      </c>
      <c r="K892" s="38">
        <v>342</v>
      </c>
      <c r="L892" s="20" t="s">
        <v>10</v>
      </c>
      <c r="M892" s="86"/>
      <c r="N892" s="22">
        <v>0.82874453067779497</v>
      </c>
    </row>
    <row r="893" spans="1:14" x14ac:dyDescent="0.35">
      <c r="A893" s="92"/>
      <c r="B893" s="20" t="s">
        <v>63</v>
      </c>
      <c r="C893" s="21">
        <v>0.76271186440677963</v>
      </c>
      <c r="D893" s="20">
        <v>0.21186440677966101</v>
      </c>
      <c r="E893" s="21">
        <v>1.271186440677966E-2</v>
      </c>
      <c r="F893" s="20">
        <v>1.271186440677966E-2</v>
      </c>
      <c r="G893" s="21">
        <v>180</v>
      </c>
      <c r="H893" s="20">
        <v>50</v>
      </c>
      <c r="I893" s="21">
        <v>3</v>
      </c>
      <c r="J893" s="20">
        <v>3</v>
      </c>
      <c r="K893" s="38">
        <v>236</v>
      </c>
      <c r="L893" s="20" t="s">
        <v>10</v>
      </c>
      <c r="M893" s="86"/>
      <c r="N893" s="22">
        <v>0.51357489824295</v>
      </c>
    </row>
    <row r="894" spans="1:14" x14ac:dyDescent="0.35">
      <c r="A894" s="92"/>
      <c r="B894" s="20" t="s">
        <v>380</v>
      </c>
      <c r="C894" s="21">
        <v>0.7518987341772152</v>
      </c>
      <c r="D894" s="20">
        <v>0.18734177215189871</v>
      </c>
      <c r="E894" s="21">
        <v>3.037974683544304E-2</v>
      </c>
      <c r="F894" s="20">
        <v>3.037974683544304E-2</v>
      </c>
      <c r="G894" s="21">
        <v>297</v>
      </c>
      <c r="H894" s="20">
        <v>74</v>
      </c>
      <c r="I894" s="21">
        <v>12</v>
      </c>
      <c r="J894" s="20">
        <v>12</v>
      </c>
      <c r="K894" s="38">
        <v>395</v>
      </c>
      <c r="L894" s="20" t="s">
        <v>10</v>
      </c>
      <c r="M894" s="86"/>
      <c r="N894" s="22">
        <v>0.94702798128128096</v>
      </c>
    </row>
    <row r="895" spans="1:14" x14ac:dyDescent="0.35">
      <c r="A895" s="92"/>
      <c r="B895" s="20" t="s">
        <v>11</v>
      </c>
      <c r="C895" s="21">
        <v>0.78130511463844798</v>
      </c>
      <c r="D895" s="20">
        <v>0.18342151675485011</v>
      </c>
      <c r="E895" s="21">
        <v>3.1746031746031737E-2</v>
      </c>
      <c r="F895" s="20">
        <v>3.5273368606701938E-3</v>
      </c>
      <c r="G895" s="21">
        <v>443</v>
      </c>
      <c r="H895" s="20">
        <v>104</v>
      </c>
      <c r="I895" s="21">
        <v>18</v>
      </c>
      <c r="J895" s="20">
        <v>2</v>
      </c>
      <c r="K895" s="38">
        <v>567</v>
      </c>
      <c r="L895" s="20" t="s">
        <v>10</v>
      </c>
      <c r="M895" s="86"/>
      <c r="N895" s="22">
        <v>0.75147849321365401</v>
      </c>
    </row>
    <row r="896" spans="1:14" x14ac:dyDescent="0.35">
      <c r="A896" s="92"/>
      <c r="B896" s="20" t="s">
        <v>21</v>
      </c>
      <c r="C896" s="21">
        <v>0.45888157894736842</v>
      </c>
      <c r="D896" s="20">
        <v>0.52467105263157898</v>
      </c>
      <c r="E896" s="21">
        <v>6.5789473684210523E-3</v>
      </c>
      <c r="F896" s="20">
        <v>9.8684210526315784E-3</v>
      </c>
      <c r="G896" s="21">
        <v>279</v>
      </c>
      <c r="H896" s="20">
        <v>319</v>
      </c>
      <c r="I896" s="21">
        <v>4</v>
      </c>
      <c r="J896" s="20">
        <v>6</v>
      </c>
      <c r="K896" s="38">
        <v>608</v>
      </c>
      <c r="L896" s="20" t="s">
        <v>10</v>
      </c>
      <c r="M896" s="86"/>
      <c r="N896" s="22">
        <v>0.91704362630844105</v>
      </c>
    </row>
    <row r="897" spans="1:14" ht="16" thickBot="1" x14ac:dyDescent="0.4">
      <c r="A897" s="93"/>
      <c r="B897" s="26" t="s">
        <v>381</v>
      </c>
      <c r="C897" s="27">
        <v>0.68452380952380953</v>
      </c>
      <c r="D897" s="26">
        <v>0.25595238095238088</v>
      </c>
      <c r="E897" s="27">
        <v>4.1666666666666657E-2</v>
      </c>
      <c r="F897" s="26">
        <v>1.785714285714286E-2</v>
      </c>
      <c r="G897" s="27">
        <v>230</v>
      </c>
      <c r="H897" s="26">
        <v>86</v>
      </c>
      <c r="I897" s="27">
        <v>14</v>
      </c>
      <c r="J897" s="26">
        <v>6</v>
      </c>
      <c r="K897" s="39">
        <v>336</v>
      </c>
      <c r="L897" s="26" t="s">
        <v>10</v>
      </c>
      <c r="M897" s="87"/>
      <c r="N897" s="28">
        <v>0.82123279571533203</v>
      </c>
    </row>
    <row r="898" spans="1:14" x14ac:dyDescent="0.35">
      <c r="A898" s="88" t="s">
        <v>509</v>
      </c>
      <c r="B898" s="8" t="s">
        <v>29</v>
      </c>
      <c r="C898" s="9">
        <v>0.52215799614643543</v>
      </c>
      <c r="D898" s="8">
        <v>0.41811175337186901</v>
      </c>
      <c r="E898" s="9">
        <v>4.8169556840077073E-2</v>
      </c>
      <c r="F898" s="8">
        <v>1.15606936416185E-2</v>
      </c>
      <c r="G898" s="9">
        <v>271</v>
      </c>
      <c r="H898" s="8">
        <v>217</v>
      </c>
      <c r="I898" s="9">
        <v>25</v>
      </c>
      <c r="J898" s="8">
        <v>6</v>
      </c>
      <c r="K898" s="34">
        <v>519</v>
      </c>
      <c r="L898" s="8" t="s">
        <v>67</v>
      </c>
      <c r="M898" s="82">
        <v>-0.88766711950302102</v>
      </c>
      <c r="N898" s="10">
        <v>0.64514756202697798</v>
      </c>
    </row>
    <row r="899" spans="1:14" x14ac:dyDescent="0.35">
      <c r="A899" s="89"/>
      <c r="B899" s="11" t="s">
        <v>25</v>
      </c>
      <c r="C899" s="12">
        <v>0.73099415204678364</v>
      </c>
      <c r="D899" s="11">
        <v>0.16959064327485379</v>
      </c>
      <c r="E899" s="12">
        <v>9.6491228070175433E-2</v>
      </c>
      <c r="F899" s="11">
        <v>2.9239766081871339E-3</v>
      </c>
      <c r="G899" s="12">
        <v>250</v>
      </c>
      <c r="H899" s="11">
        <v>58</v>
      </c>
      <c r="I899" s="12">
        <v>33</v>
      </c>
      <c r="J899" s="11">
        <v>1</v>
      </c>
      <c r="K899" s="35">
        <v>342</v>
      </c>
      <c r="L899" s="11" t="s">
        <v>67</v>
      </c>
      <c r="M899" s="83"/>
      <c r="N899" s="13">
        <v>0.92917662858963002</v>
      </c>
    </row>
    <row r="900" spans="1:14" x14ac:dyDescent="0.35">
      <c r="A900" s="89"/>
      <c r="B900" s="11" t="s">
        <v>63</v>
      </c>
      <c r="C900" s="12">
        <v>0.77542372881355937</v>
      </c>
      <c r="D900" s="11">
        <v>0.1440677966101695</v>
      </c>
      <c r="E900" s="12">
        <v>7.2033898305084748E-2</v>
      </c>
      <c r="F900" s="11">
        <v>8.4745762711864406E-3</v>
      </c>
      <c r="G900" s="12">
        <v>183</v>
      </c>
      <c r="H900" s="11">
        <v>34</v>
      </c>
      <c r="I900" s="12">
        <v>17</v>
      </c>
      <c r="J900" s="11">
        <v>2</v>
      </c>
      <c r="K900" s="35">
        <v>236</v>
      </c>
      <c r="L900" s="11" t="s">
        <v>67</v>
      </c>
      <c r="M900" s="83"/>
      <c r="N900" s="13">
        <v>0.71775072813034102</v>
      </c>
    </row>
    <row r="901" spans="1:14" x14ac:dyDescent="0.35">
      <c r="A901" s="89"/>
      <c r="B901" s="11" t="s">
        <v>380</v>
      </c>
      <c r="C901" s="12">
        <v>0.77974683544303802</v>
      </c>
      <c r="D901" s="11">
        <v>0.15189873417721519</v>
      </c>
      <c r="E901" s="12">
        <v>6.0759493670886067E-2</v>
      </c>
      <c r="F901" s="11">
        <v>7.5949367088607592E-3</v>
      </c>
      <c r="G901" s="12">
        <v>308</v>
      </c>
      <c r="H901" s="11">
        <v>60</v>
      </c>
      <c r="I901" s="12">
        <v>24</v>
      </c>
      <c r="J901" s="11">
        <v>3</v>
      </c>
      <c r="K901" s="35">
        <v>395</v>
      </c>
      <c r="L901" s="11" t="s">
        <v>67</v>
      </c>
      <c r="M901" s="83"/>
      <c r="N901" s="13">
        <v>0.71183311939239502</v>
      </c>
    </row>
    <row r="902" spans="1:14" x14ac:dyDescent="0.35">
      <c r="A902" s="89"/>
      <c r="B902" s="11" t="s">
        <v>11</v>
      </c>
      <c r="C902" s="12">
        <v>0.81834215167548496</v>
      </c>
      <c r="D902" s="11">
        <v>0.1164021164021164</v>
      </c>
      <c r="E902" s="12">
        <v>5.8201058201058198E-2</v>
      </c>
      <c r="F902" s="11">
        <v>7.0546737213403876E-3</v>
      </c>
      <c r="G902" s="12">
        <v>464</v>
      </c>
      <c r="H902" s="11">
        <v>66</v>
      </c>
      <c r="I902" s="12">
        <v>33</v>
      </c>
      <c r="J902" s="11">
        <v>4</v>
      </c>
      <c r="K902" s="35">
        <v>567</v>
      </c>
      <c r="L902" s="11" t="s">
        <v>67</v>
      </c>
      <c r="M902" s="83"/>
      <c r="N902" s="13">
        <v>0.82049834728241</v>
      </c>
    </row>
    <row r="903" spans="1:14" x14ac:dyDescent="0.35">
      <c r="A903" s="89"/>
      <c r="B903" s="11" t="s">
        <v>21</v>
      </c>
      <c r="C903" s="12">
        <v>0.41940789473684209</v>
      </c>
      <c r="D903" s="11">
        <v>0.45394736842105271</v>
      </c>
      <c r="E903" s="12">
        <v>0.12171052631578951</v>
      </c>
      <c r="F903" s="11">
        <v>4.9342105263157892E-3</v>
      </c>
      <c r="G903" s="12">
        <v>255</v>
      </c>
      <c r="H903" s="11">
        <v>276</v>
      </c>
      <c r="I903" s="12">
        <v>74</v>
      </c>
      <c r="J903" s="11">
        <v>3</v>
      </c>
      <c r="K903" s="35">
        <v>608</v>
      </c>
      <c r="L903" s="11" t="s">
        <v>67</v>
      </c>
      <c r="M903" s="83"/>
      <c r="N903" s="13">
        <v>0.88568037748336803</v>
      </c>
    </row>
    <row r="904" spans="1:14" ht="16" thickBot="1" x14ac:dyDescent="0.4">
      <c r="A904" s="90"/>
      <c r="B904" s="14" t="s">
        <v>381</v>
      </c>
      <c r="C904" s="15">
        <v>0.7321428571428571</v>
      </c>
      <c r="D904" s="14">
        <v>0.20238095238095241</v>
      </c>
      <c r="E904" s="15">
        <v>5.9523809523809521E-2</v>
      </c>
      <c r="F904" s="14">
        <v>5.9523809523809521E-3</v>
      </c>
      <c r="G904" s="15">
        <v>246</v>
      </c>
      <c r="H904" s="14">
        <v>68</v>
      </c>
      <c r="I904" s="15">
        <v>20</v>
      </c>
      <c r="J904" s="14">
        <v>2</v>
      </c>
      <c r="K904" s="36">
        <v>336</v>
      </c>
      <c r="L904" s="14" t="s">
        <v>67</v>
      </c>
      <c r="M904" s="84"/>
      <c r="N904" s="16">
        <v>0.84669893980026201</v>
      </c>
    </row>
    <row r="905" spans="1:14" x14ac:dyDescent="0.35">
      <c r="A905" s="91" t="s">
        <v>510</v>
      </c>
      <c r="B905" s="17" t="s">
        <v>29</v>
      </c>
      <c r="C905" s="18">
        <v>0.53179190751445082</v>
      </c>
      <c r="D905" s="17">
        <v>0.46050096339113678</v>
      </c>
      <c r="E905" s="18">
        <v>3.8535645472061661E-3</v>
      </c>
      <c r="F905" s="17">
        <v>3.8535645472061661E-3</v>
      </c>
      <c r="G905" s="18">
        <v>276</v>
      </c>
      <c r="H905" s="17">
        <v>239</v>
      </c>
      <c r="I905" s="18">
        <v>2</v>
      </c>
      <c r="J905" s="17">
        <v>2</v>
      </c>
      <c r="K905" s="37">
        <v>519</v>
      </c>
      <c r="L905" s="17" t="s">
        <v>67</v>
      </c>
      <c r="M905" s="85">
        <v>-0.77564936876296997</v>
      </c>
      <c r="N905" s="19">
        <v>0.63854169845581099</v>
      </c>
    </row>
    <row r="906" spans="1:14" x14ac:dyDescent="0.35">
      <c r="A906" s="92"/>
      <c r="B906" s="20" t="s">
        <v>25</v>
      </c>
      <c r="C906" s="21">
        <v>0.70175438596491224</v>
      </c>
      <c r="D906" s="20">
        <v>0.2982456140350877</v>
      </c>
      <c r="E906" s="21">
        <v>0</v>
      </c>
      <c r="F906" s="20">
        <v>0</v>
      </c>
      <c r="G906" s="21">
        <v>240</v>
      </c>
      <c r="H906" s="20">
        <v>102</v>
      </c>
      <c r="I906" s="21">
        <v>0</v>
      </c>
      <c r="J906" s="20">
        <v>0</v>
      </c>
      <c r="K906" s="38">
        <v>342</v>
      </c>
      <c r="L906" s="20" t="s">
        <v>67</v>
      </c>
      <c r="M906" s="86"/>
      <c r="N906" s="22">
        <v>0.73960143327713002</v>
      </c>
    </row>
    <row r="907" spans="1:14" x14ac:dyDescent="0.35">
      <c r="A907" s="92"/>
      <c r="B907" s="20" t="s">
        <v>63</v>
      </c>
      <c r="C907" s="21">
        <v>0.76271186440677963</v>
      </c>
      <c r="D907" s="20">
        <v>0.23305084745762711</v>
      </c>
      <c r="E907" s="21">
        <v>0</v>
      </c>
      <c r="F907" s="20">
        <v>4.2372881355932203E-3</v>
      </c>
      <c r="G907" s="21">
        <v>180</v>
      </c>
      <c r="H907" s="20">
        <v>55</v>
      </c>
      <c r="I907" s="21">
        <v>0</v>
      </c>
      <c r="J907" s="20">
        <v>1</v>
      </c>
      <c r="K907" s="38">
        <v>236</v>
      </c>
      <c r="L907" s="20" t="s">
        <v>67</v>
      </c>
      <c r="M907" s="86"/>
      <c r="N907" s="22">
        <v>0.26813465356826799</v>
      </c>
    </row>
    <row r="908" spans="1:14" x14ac:dyDescent="0.35">
      <c r="A908" s="92"/>
      <c r="B908" s="20" t="s">
        <v>380</v>
      </c>
      <c r="C908" s="21">
        <v>0.77215189873417722</v>
      </c>
      <c r="D908" s="20">
        <v>0.21012658227848099</v>
      </c>
      <c r="E908" s="21">
        <v>1.2658227848101271E-2</v>
      </c>
      <c r="F908" s="20">
        <v>5.0632911392405064E-3</v>
      </c>
      <c r="G908" s="21">
        <v>305</v>
      </c>
      <c r="H908" s="20">
        <v>83</v>
      </c>
      <c r="I908" s="21">
        <v>5</v>
      </c>
      <c r="J908" s="20">
        <v>2</v>
      </c>
      <c r="K908" s="38">
        <v>395</v>
      </c>
      <c r="L908" s="20" t="s">
        <v>67</v>
      </c>
      <c r="M908" s="86"/>
      <c r="N908" s="22">
        <v>0.66961163282394398</v>
      </c>
    </row>
    <row r="909" spans="1:14" x14ac:dyDescent="0.35">
      <c r="A909" s="92"/>
      <c r="B909" s="20" t="s">
        <v>11</v>
      </c>
      <c r="C909" s="21">
        <v>0.80246913580246915</v>
      </c>
      <c r="D909" s="20">
        <v>0.1851851851851852</v>
      </c>
      <c r="E909" s="21">
        <v>1.058201058201058E-2</v>
      </c>
      <c r="F909" s="20">
        <v>1.7636684303350969E-3</v>
      </c>
      <c r="G909" s="21">
        <v>455</v>
      </c>
      <c r="H909" s="20">
        <v>105</v>
      </c>
      <c r="I909" s="21">
        <v>6</v>
      </c>
      <c r="J909" s="20">
        <v>1</v>
      </c>
      <c r="K909" s="38">
        <v>567</v>
      </c>
      <c r="L909" s="20" t="s">
        <v>67</v>
      </c>
      <c r="M909" s="86"/>
      <c r="N909" s="22">
        <v>0.68714439868927002</v>
      </c>
    </row>
    <row r="910" spans="1:14" x14ac:dyDescent="0.35">
      <c r="A910" s="92"/>
      <c r="B910" s="20" t="s">
        <v>21</v>
      </c>
      <c r="C910" s="21">
        <v>0.39473684210526322</v>
      </c>
      <c r="D910" s="20">
        <v>0.60197368421052633</v>
      </c>
      <c r="E910" s="21">
        <v>0</v>
      </c>
      <c r="F910" s="20">
        <v>3.2894736842105261E-3</v>
      </c>
      <c r="G910" s="21">
        <v>240</v>
      </c>
      <c r="H910" s="20">
        <v>366</v>
      </c>
      <c r="I910" s="21">
        <v>0</v>
      </c>
      <c r="J910" s="20">
        <v>2</v>
      </c>
      <c r="K910" s="38">
        <v>608</v>
      </c>
      <c r="L910" s="20" t="s">
        <v>67</v>
      </c>
      <c r="M910" s="86"/>
      <c r="N910" s="22">
        <v>0.76665866374969505</v>
      </c>
    </row>
    <row r="911" spans="1:14" ht="16" thickBot="1" x14ac:dyDescent="0.4">
      <c r="A911" s="93"/>
      <c r="B911" s="26" t="s">
        <v>381</v>
      </c>
      <c r="C911" s="27">
        <v>0.70238095238095233</v>
      </c>
      <c r="D911" s="26">
        <v>0.28869047619047622</v>
      </c>
      <c r="E911" s="27">
        <v>2.976190476190476E-3</v>
      </c>
      <c r="F911" s="26">
        <v>5.9523809523809521E-3</v>
      </c>
      <c r="G911" s="27">
        <v>236</v>
      </c>
      <c r="H911" s="26">
        <v>97</v>
      </c>
      <c r="I911" s="27">
        <v>1</v>
      </c>
      <c r="J911" s="26">
        <v>2</v>
      </c>
      <c r="K911" s="39">
        <v>336</v>
      </c>
      <c r="L911" s="26" t="s">
        <v>67</v>
      </c>
      <c r="M911" s="87"/>
      <c r="N911" s="28">
        <v>0.67909950017929099</v>
      </c>
    </row>
    <row r="912" spans="1:14" x14ac:dyDescent="0.35">
      <c r="A912" s="88" t="s">
        <v>511</v>
      </c>
      <c r="B912" s="8" t="s">
        <v>29</v>
      </c>
      <c r="C912" s="9">
        <v>0.26782273603082851</v>
      </c>
      <c r="D912" s="8">
        <v>0.51445086705202314</v>
      </c>
      <c r="E912" s="9">
        <v>0.19075144508670519</v>
      </c>
      <c r="F912" s="8">
        <v>2.6974951830443159E-2</v>
      </c>
      <c r="G912" s="9">
        <v>139</v>
      </c>
      <c r="H912" s="8">
        <v>267</v>
      </c>
      <c r="I912" s="9">
        <v>99</v>
      </c>
      <c r="J912" s="8">
        <v>14</v>
      </c>
      <c r="K912" s="34">
        <v>519</v>
      </c>
      <c r="L912" s="8" t="s">
        <v>36</v>
      </c>
      <c r="M912" s="82">
        <v>0.87374305725097701</v>
      </c>
      <c r="N912" s="10">
        <v>-0.93216812610626198</v>
      </c>
    </row>
    <row r="913" spans="1:14" x14ac:dyDescent="0.35">
      <c r="A913" s="89"/>
      <c r="B913" s="11" t="s">
        <v>25</v>
      </c>
      <c r="C913" s="12">
        <v>0.20760233918128651</v>
      </c>
      <c r="D913" s="11">
        <v>0.57894736842105265</v>
      </c>
      <c r="E913" s="12">
        <v>0.1871345029239766</v>
      </c>
      <c r="F913" s="11">
        <v>2.6315789473684209E-2</v>
      </c>
      <c r="G913" s="12">
        <v>71</v>
      </c>
      <c r="H913" s="11">
        <v>198</v>
      </c>
      <c r="I913" s="12">
        <v>64</v>
      </c>
      <c r="J913" s="11">
        <v>9</v>
      </c>
      <c r="K913" s="35">
        <v>342</v>
      </c>
      <c r="L913" s="11" t="s">
        <v>36</v>
      </c>
      <c r="M913" s="83"/>
      <c r="N913" s="13">
        <v>-0.84091430902481101</v>
      </c>
    </row>
    <row r="914" spans="1:14" x14ac:dyDescent="0.35">
      <c r="A914" s="89"/>
      <c r="B914" s="11" t="s">
        <v>63</v>
      </c>
      <c r="C914" s="12">
        <v>0.19491525423728809</v>
      </c>
      <c r="D914" s="11">
        <v>0.66101694915254239</v>
      </c>
      <c r="E914" s="12">
        <v>0.13559322033898311</v>
      </c>
      <c r="F914" s="11">
        <v>8.4745762711864406E-3</v>
      </c>
      <c r="G914" s="12">
        <v>46</v>
      </c>
      <c r="H914" s="11">
        <v>156</v>
      </c>
      <c r="I914" s="12">
        <v>32</v>
      </c>
      <c r="J914" s="11">
        <v>2</v>
      </c>
      <c r="K914" s="35">
        <v>236</v>
      </c>
      <c r="L914" s="11" t="s">
        <v>36</v>
      </c>
      <c r="M914" s="83"/>
      <c r="N914" s="13">
        <v>-0.87688863277435303</v>
      </c>
    </row>
    <row r="915" spans="1:14" x14ac:dyDescent="0.35">
      <c r="A915" s="89"/>
      <c r="B915" s="11" t="s">
        <v>380</v>
      </c>
      <c r="C915" s="12">
        <v>0.24303797468354429</v>
      </c>
      <c r="D915" s="11">
        <v>0.52658227848101269</v>
      </c>
      <c r="E915" s="12">
        <v>0.2</v>
      </c>
      <c r="F915" s="11">
        <v>3.037974683544304E-2</v>
      </c>
      <c r="G915" s="12">
        <v>96</v>
      </c>
      <c r="H915" s="11">
        <v>208</v>
      </c>
      <c r="I915" s="12">
        <v>79</v>
      </c>
      <c r="J915" s="11">
        <v>12</v>
      </c>
      <c r="K915" s="35">
        <v>395</v>
      </c>
      <c r="L915" s="11" t="s">
        <v>36</v>
      </c>
      <c r="M915" s="83"/>
      <c r="N915" s="13">
        <v>-0.83976167440414395</v>
      </c>
    </row>
    <row r="916" spans="1:14" x14ac:dyDescent="0.35">
      <c r="A916" s="89"/>
      <c r="B916" s="11" t="s">
        <v>11</v>
      </c>
      <c r="C916" s="12">
        <v>0.23456790123456789</v>
      </c>
      <c r="D916" s="11">
        <v>0.50088183421516752</v>
      </c>
      <c r="E916" s="12">
        <v>0.13932980599647271</v>
      </c>
      <c r="F916" s="11">
        <v>0.12522045855379191</v>
      </c>
      <c r="G916" s="12">
        <v>133</v>
      </c>
      <c r="H916" s="11">
        <v>284</v>
      </c>
      <c r="I916" s="12">
        <v>79</v>
      </c>
      <c r="J916" s="11">
        <v>71</v>
      </c>
      <c r="K916" s="35">
        <v>567</v>
      </c>
      <c r="L916" s="11" t="s">
        <v>36</v>
      </c>
      <c r="M916" s="83"/>
      <c r="N916" s="13">
        <v>-0.51778423786163297</v>
      </c>
    </row>
    <row r="917" spans="1:14" x14ac:dyDescent="0.35">
      <c r="A917" s="89"/>
      <c r="B917" s="11" t="s">
        <v>21</v>
      </c>
      <c r="C917" s="12">
        <v>0.5</v>
      </c>
      <c r="D917" s="11">
        <v>0.31907894736842107</v>
      </c>
      <c r="E917" s="12">
        <v>0.12993421052631579</v>
      </c>
      <c r="F917" s="11">
        <v>5.0986842105263157E-2</v>
      </c>
      <c r="G917" s="12">
        <v>304</v>
      </c>
      <c r="H917" s="11">
        <v>194</v>
      </c>
      <c r="I917" s="12">
        <v>79</v>
      </c>
      <c r="J917" s="11">
        <v>31</v>
      </c>
      <c r="K917" s="35">
        <v>608</v>
      </c>
      <c r="L917" s="11" t="s">
        <v>36</v>
      </c>
      <c r="M917" s="83"/>
      <c r="N917" s="13">
        <v>-0.92603695392608598</v>
      </c>
    </row>
    <row r="918" spans="1:14" ht="16" thickBot="1" x14ac:dyDescent="0.4">
      <c r="A918" s="90"/>
      <c r="B918" s="14" t="s">
        <v>381</v>
      </c>
      <c r="C918" s="15">
        <v>0.22619047619047619</v>
      </c>
      <c r="D918" s="14">
        <v>0.54761904761904767</v>
      </c>
      <c r="E918" s="15">
        <v>0.19345238095238099</v>
      </c>
      <c r="F918" s="14">
        <v>3.273809523809524E-2</v>
      </c>
      <c r="G918" s="15">
        <v>76</v>
      </c>
      <c r="H918" s="14">
        <v>184</v>
      </c>
      <c r="I918" s="15">
        <v>65</v>
      </c>
      <c r="J918" s="14">
        <v>11</v>
      </c>
      <c r="K918" s="36">
        <v>336</v>
      </c>
      <c r="L918" s="14" t="s">
        <v>36</v>
      </c>
      <c r="M918" s="84"/>
      <c r="N918" s="16">
        <v>-0.98041623830795299</v>
      </c>
    </row>
    <row r="919" spans="1:14" x14ac:dyDescent="0.35">
      <c r="A919" s="91" t="s">
        <v>512</v>
      </c>
      <c r="B919" s="17" t="s">
        <v>29</v>
      </c>
      <c r="C919" s="18">
        <v>0.35260115606936421</v>
      </c>
      <c r="D919" s="17">
        <v>0.31984585741811178</v>
      </c>
      <c r="E919" s="18">
        <v>0.20616570327552991</v>
      </c>
      <c r="F919" s="17">
        <v>0.1213872832369942</v>
      </c>
      <c r="G919" s="18">
        <v>183</v>
      </c>
      <c r="H919" s="17">
        <v>166</v>
      </c>
      <c r="I919" s="18">
        <v>107</v>
      </c>
      <c r="J919" s="17">
        <v>63</v>
      </c>
      <c r="K919" s="37">
        <v>519</v>
      </c>
      <c r="L919" s="17" t="s">
        <v>23</v>
      </c>
      <c r="M919" s="85">
        <v>-0.18488757312297799</v>
      </c>
      <c r="N919" s="19">
        <v>2.65621095895767E-2</v>
      </c>
    </row>
    <row r="920" spans="1:14" x14ac:dyDescent="0.35">
      <c r="A920" s="92"/>
      <c r="B920" s="20" t="s">
        <v>25</v>
      </c>
      <c r="C920" s="21">
        <v>0.3888888888888889</v>
      </c>
      <c r="D920" s="20">
        <v>0.32163742690058478</v>
      </c>
      <c r="E920" s="21">
        <v>0.2192982456140351</v>
      </c>
      <c r="F920" s="20">
        <v>7.0175438596491224E-2</v>
      </c>
      <c r="G920" s="21">
        <v>133</v>
      </c>
      <c r="H920" s="20">
        <v>110</v>
      </c>
      <c r="I920" s="21">
        <v>75</v>
      </c>
      <c r="J920" s="20">
        <v>24</v>
      </c>
      <c r="K920" s="38">
        <v>342</v>
      </c>
      <c r="L920" s="20" t="s">
        <v>23</v>
      </c>
      <c r="M920" s="86"/>
      <c r="N920" s="22">
        <v>0.16235572099685699</v>
      </c>
    </row>
    <row r="921" spans="1:14" x14ac:dyDescent="0.35">
      <c r="A921" s="92"/>
      <c r="B921" s="20" t="s">
        <v>63</v>
      </c>
      <c r="C921" s="21">
        <v>0.33050847457627119</v>
      </c>
      <c r="D921" s="20">
        <v>0.1271186440677966</v>
      </c>
      <c r="E921" s="21">
        <v>0.3135593220338983</v>
      </c>
      <c r="F921" s="20">
        <v>0.2288135593220339</v>
      </c>
      <c r="G921" s="21">
        <v>78</v>
      </c>
      <c r="H921" s="20">
        <v>30</v>
      </c>
      <c r="I921" s="21">
        <v>74</v>
      </c>
      <c r="J921" s="20">
        <v>54</v>
      </c>
      <c r="K921" s="38">
        <v>236</v>
      </c>
      <c r="L921" s="20" t="s">
        <v>23</v>
      </c>
      <c r="M921" s="86"/>
      <c r="N921" s="22">
        <v>-3.4988693892955801E-2</v>
      </c>
    </row>
    <row r="922" spans="1:14" x14ac:dyDescent="0.35">
      <c r="A922" s="92"/>
      <c r="B922" s="20" t="s">
        <v>380</v>
      </c>
      <c r="C922" s="21">
        <v>0.45063291139240508</v>
      </c>
      <c r="D922" s="20">
        <v>0.22784810126582281</v>
      </c>
      <c r="E922" s="21">
        <v>0.22784810126582281</v>
      </c>
      <c r="F922" s="20">
        <v>9.3670886075949367E-2</v>
      </c>
      <c r="G922" s="21">
        <v>178</v>
      </c>
      <c r="H922" s="20">
        <v>90</v>
      </c>
      <c r="I922" s="21">
        <v>90</v>
      </c>
      <c r="J922" s="20">
        <v>37</v>
      </c>
      <c r="K922" s="38">
        <v>395</v>
      </c>
      <c r="L922" s="20" t="s">
        <v>23</v>
      </c>
      <c r="M922" s="86"/>
      <c r="N922" s="22">
        <v>5.6888341903686503E-2</v>
      </c>
    </row>
    <row r="923" spans="1:14" x14ac:dyDescent="0.35">
      <c r="A923" s="92"/>
      <c r="B923" s="20" t="s">
        <v>11</v>
      </c>
      <c r="C923" s="21">
        <v>0.56613756613756616</v>
      </c>
      <c r="D923" s="20">
        <v>0.23985890652557321</v>
      </c>
      <c r="E923" s="21">
        <v>0.16578483245149911</v>
      </c>
      <c r="F923" s="20">
        <v>2.821869488536155E-2</v>
      </c>
      <c r="G923" s="21">
        <v>321</v>
      </c>
      <c r="H923" s="20">
        <v>136</v>
      </c>
      <c r="I923" s="21">
        <v>94</v>
      </c>
      <c r="J923" s="20">
        <v>16</v>
      </c>
      <c r="K923" s="38">
        <v>567</v>
      </c>
      <c r="L923" s="20" t="s">
        <v>23</v>
      </c>
      <c r="M923" s="86"/>
      <c r="N923" s="22">
        <v>0.24668148159980799</v>
      </c>
    </row>
    <row r="924" spans="1:14" x14ac:dyDescent="0.35">
      <c r="A924" s="92"/>
      <c r="B924" s="20" t="s">
        <v>21</v>
      </c>
      <c r="C924" s="21">
        <v>0.32894736842105271</v>
      </c>
      <c r="D924" s="20">
        <v>0.25</v>
      </c>
      <c r="E924" s="21">
        <v>0.2417763157894737</v>
      </c>
      <c r="F924" s="20">
        <v>0.1792763157894737</v>
      </c>
      <c r="G924" s="21">
        <v>200</v>
      </c>
      <c r="H924" s="20">
        <v>152</v>
      </c>
      <c r="I924" s="21">
        <v>147</v>
      </c>
      <c r="J924" s="20">
        <v>109</v>
      </c>
      <c r="K924" s="38">
        <v>608</v>
      </c>
      <c r="L924" s="20" t="s">
        <v>23</v>
      </c>
      <c r="M924" s="86"/>
      <c r="N924" s="22">
        <v>0.184652760624886</v>
      </c>
    </row>
    <row r="925" spans="1:14" ht="16" thickBot="1" x14ac:dyDescent="0.4">
      <c r="A925" s="93"/>
      <c r="B925" s="26" t="s">
        <v>381</v>
      </c>
      <c r="C925" s="27">
        <v>0.54166666666666663</v>
      </c>
      <c r="D925" s="26">
        <v>0.17261904761904759</v>
      </c>
      <c r="E925" s="27">
        <v>0.25</v>
      </c>
      <c r="F925" s="26">
        <v>3.5714285714285712E-2</v>
      </c>
      <c r="G925" s="27">
        <v>182</v>
      </c>
      <c r="H925" s="26">
        <v>58</v>
      </c>
      <c r="I925" s="27">
        <v>84</v>
      </c>
      <c r="J925" s="26">
        <v>12</v>
      </c>
      <c r="K925" s="39">
        <v>336</v>
      </c>
      <c r="L925" s="26" t="s">
        <v>23</v>
      </c>
      <c r="M925" s="87"/>
      <c r="N925" s="28">
        <v>0.25385326147079501</v>
      </c>
    </row>
    <row r="926" spans="1:14" x14ac:dyDescent="0.35">
      <c r="A926" s="88" t="s">
        <v>513</v>
      </c>
      <c r="B926" s="8" t="s">
        <v>29</v>
      </c>
      <c r="C926" s="9">
        <v>0.49903660886319839</v>
      </c>
      <c r="D926" s="8">
        <v>0.40077071290944122</v>
      </c>
      <c r="E926" s="9">
        <v>2.8901734104046239E-2</v>
      </c>
      <c r="F926" s="8">
        <v>7.1290944123314062E-2</v>
      </c>
      <c r="G926" s="9">
        <v>259</v>
      </c>
      <c r="H926" s="8">
        <v>208</v>
      </c>
      <c r="I926" s="9">
        <v>15</v>
      </c>
      <c r="J926" s="8">
        <v>37</v>
      </c>
      <c r="K926" s="34">
        <v>519</v>
      </c>
      <c r="L926" s="8" t="s">
        <v>44</v>
      </c>
      <c r="M926" s="82">
        <v>-0.54135328531265303</v>
      </c>
      <c r="N926" s="10">
        <v>0.50971257686615001</v>
      </c>
    </row>
    <row r="927" spans="1:14" x14ac:dyDescent="0.35">
      <c r="A927" s="89"/>
      <c r="B927" s="11" t="s">
        <v>25</v>
      </c>
      <c r="C927" s="12">
        <v>0.50292397660818711</v>
      </c>
      <c r="D927" s="11">
        <v>0.42690058479532161</v>
      </c>
      <c r="E927" s="12">
        <v>2.923976608187134E-2</v>
      </c>
      <c r="F927" s="11">
        <v>4.0935672514619881E-2</v>
      </c>
      <c r="G927" s="12">
        <v>172</v>
      </c>
      <c r="H927" s="11">
        <v>146</v>
      </c>
      <c r="I927" s="12">
        <v>10</v>
      </c>
      <c r="J927" s="11">
        <v>14</v>
      </c>
      <c r="K927" s="35">
        <v>342</v>
      </c>
      <c r="L927" s="11" t="s">
        <v>44</v>
      </c>
      <c r="M927" s="83"/>
      <c r="N927" s="13">
        <v>0.44342282414436301</v>
      </c>
    </row>
    <row r="928" spans="1:14" x14ac:dyDescent="0.35">
      <c r="A928" s="89"/>
      <c r="B928" s="11" t="s">
        <v>63</v>
      </c>
      <c r="C928" s="12">
        <v>0.26271186440677968</v>
      </c>
      <c r="D928" s="11">
        <v>0.44491525423728812</v>
      </c>
      <c r="E928" s="12">
        <v>0.13135593220338981</v>
      </c>
      <c r="F928" s="11">
        <v>0.16101694915254239</v>
      </c>
      <c r="G928" s="12">
        <v>62</v>
      </c>
      <c r="H928" s="11">
        <v>105</v>
      </c>
      <c r="I928" s="12">
        <v>31</v>
      </c>
      <c r="J928" s="11">
        <v>38</v>
      </c>
      <c r="K928" s="35">
        <v>236</v>
      </c>
      <c r="L928" s="11" t="s">
        <v>44</v>
      </c>
      <c r="M928" s="83"/>
      <c r="N928" s="13">
        <v>-0.16493783891201</v>
      </c>
    </row>
    <row r="929" spans="1:14" x14ac:dyDescent="0.35">
      <c r="A929" s="89"/>
      <c r="B929" s="11" t="s">
        <v>380</v>
      </c>
      <c r="C929" s="12">
        <v>0.65569620253164562</v>
      </c>
      <c r="D929" s="11">
        <v>0.27088607594936709</v>
      </c>
      <c r="E929" s="12">
        <v>6.0759493670886067E-2</v>
      </c>
      <c r="F929" s="11">
        <v>1.2658227848101271E-2</v>
      </c>
      <c r="G929" s="12">
        <v>259</v>
      </c>
      <c r="H929" s="11">
        <v>107</v>
      </c>
      <c r="I929" s="12">
        <v>24</v>
      </c>
      <c r="J929" s="11">
        <v>5</v>
      </c>
      <c r="K929" s="35">
        <v>395</v>
      </c>
      <c r="L929" s="11" t="s">
        <v>44</v>
      </c>
      <c r="M929" s="83"/>
      <c r="N929" s="13">
        <v>0.44421645998954801</v>
      </c>
    </row>
    <row r="930" spans="1:14" x14ac:dyDescent="0.35">
      <c r="A930" s="89"/>
      <c r="B930" s="11" t="s">
        <v>11</v>
      </c>
      <c r="C930" s="12">
        <v>0.5679012345679012</v>
      </c>
      <c r="D930" s="11">
        <v>0.22398589065255731</v>
      </c>
      <c r="E930" s="12">
        <v>9.5238095238095233E-2</v>
      </c>
      <c r="F930" s="11">
        <v>0.1128747795414462</v>
      </c>
      <c r="G930" s="12">
        <v>322</v>
      </c>
      <c r="H930" s="11">
        <v>127</v>
      </c>
      <c r="I930" s="12">
        <v>54</v>
      </c>
      <c r="J930" s="11">
        <v>64</v>
      </c>
      <c r="K930" s="35">
        <v>567</v>
      </c>
      <c r="L930" s="11" t="s">
        <v>44</v>
      </c>
      <c r="M930" s="83"/>
      <c r="N930" s="13">
        <v>0.476554214954376</v>
      </c>
    </row>
    <row r="931" spans="1:14" x14ac:dyDescent="0.35">
      <c r="A931" s="89"/>
      <c r="B931" s="11" t="s">
        <v>21</v>
      </c>
      <c r="C931" s="12">
        <v>0.32401315789473678</v>
      </c>
      <c r="D931" s="11">
        <v>0.57401315789473684</v>
      </c>
      <c r="E931" s="12">
        <v>5.921052631578947E-2</v>
      </c>
      <c r="F931" s="11">
        <v>4.2763157894736843E-2</v>
      </c>
      <c r="G931" s="12">
        <v>197</v>
      </c>
      <c r="H931" s="11">
        <v>349</v>
      </c>
      <c r="I931" s="12">
        <v>36</v>
      </c>
      <c r="J931" s="11">
        <v>26</v>
      </c>
      <c r="K931" s="35">
        <v>608</v>
      </c>
      <c r="L931" s="11" t="s">
        <v>44</v>
      </c>
      <c r="M931" s="83"/>
      <c r="N931" s="13">
        <v>0.65993416309356701</v>
      </c>
    </row>
    <row r="932" spans="1:14" ht="16" thickBot="1" x14ac:dyDescent="0.4">
      <c r="A932" s="90"/>
      <c r="B932" s="14" t="s">
        <v>381</v>
      </c>
      <c r="C932" s="15">
        <v>0.44642857142857151</v>
      </c>
      <c r="D932" s="14">
        <v>0.42559523809523808</v>
      </c>
      <c r="E932" s="15">
        <v>8.9285714285714288E-2</v>
      </c>
      <c r="F932" s="14">
        <v>3.8690476190476192E-2</v>
      </c>
      <c r="G932" s="15">
        <v>150</v>
      </c>
      <c r="H932" s="14">
        <v>143</v>
      </c>
      <c r="I932" s="15">
        <v>30</v>
      </c>
      <c r="J932" s="14">
        <v>13</v>
      </c>
      <c r="K932" s="36">
        <v>336</v>
      </c>
      <c r="L932" s="14" t="s">
        <v>44</v>
      </c>
      <c r="M932" s="84"/>
      <c r="N932" s="16">
        <v>0.35312142968177801</v>
      </c>
    </row>
    <row r="933" spans="1:14" x14ac:dyDescent="0.35">
      <c r="A933" s="91" t="s">
        <v>514</v>
      </c>
      <c r="B933" s="17" t="s">
        <v>29</v>
      </c>
      <c r="C933" s="18">
        <v>0.61078998073217727</v>
      </c>
      <c r="D933" s="17">
        <v>0.35260115606936421</v>
      </c>
      <c r="E933" s="18">
        <v>2.504816955684008E-2</v>
      </c>
      <c r="F933" s="17">
        <v>1.15606936416185E-2</v>
      </c>
      <c r="G933" s="18">
        <v>317</v>
      </c>
      <c r="H933" s="17">
        <v>183</v>
      </c>
      <c r="I933" s="18">
        <v>13</v>
      </c>
      <c r="J933" s="17">
        <v>6</v>
      </c>
      <c r="K933" s="37">
        <v>519</v>
      </c>
      <c r="L933" s="17" t="s">
        <v>53</v>
      </c>
      <c r="M933" s="85">
        <v>-0.793837189674377</v>
      </c>
      <c r="N933" s="19">
        <v>0.94151127338409402</v>
      </c>
    </row>
    <row r="934" spans="1:14" x14ac:dyDescent="0.35">
      <c r="A934" s="92"/>
      <c r="B934" s="20" t="s">
        <v>25</v>
      </c>
      <c r="C934" s="21">
        <v>0.67251461988304095</v>
      </c>
      <c r="D934" s="20">
        <v>0.28362573099415211</v>
      </c>
      <c r="E934" s="21">
        <v>3.2163742690058478E-2</v>
      </c>
      <c r="F934" s="20">
        <v>1.1695906432748541E-2</v>
      </c>
      <c r="G934" s="21">
        <v>230</v>
      </c>
      <c r="H934" s="20">
        <v>97</v>
      </c>
      <c r="I934" s="21">
        <v>11</v>
      </c>
      <c r="J934" s="20">
        <v>4</v>
      </c>
      <c r="K934" s="38">
        <v>342</v>
      </c>
      <c r="L934" s="20" t="s">
        <v>53</v>
      </c>
      <c r="M934" s="86"/>
      <c r="N934" s="22">
        <v>0.80613183975219704</v>
      </c>
    </row>
    <row r="935" spans="1:14" x14ac:dyDescent="0.35">
      <c r="A935" s="92"/>
      <c r="B935" s="20" t="s">
        <v>63</v>
      </c>
      <c r="C935" s="21">
        <v>0.71186440677966101</v>
      </c>
      <c r="D935" s="20">
        <v>0.23305084745762711</v>
      </c>
      <c r="E935" s="21">
        <v>5.5084745762711863E-2</v>
      </c>
      <c r="F935" s="20">
        <v>0</v>
      </c>
      <c r="G935" s="21">
        <v>168</v>
      </c>
      <c r="H935" s="20">
        <v>55</v>
      </c>
      <c r="I935" s="21">
        <v>13</v>
      </c>
      <c r="J935" s="20">
        <v>0</v>
      </c>
      <c r="K935" s="38">
        <v>236</v>
      </c>
      <c r="L935" s="20" t="s">
        <v>53</v>
      </c>
      <c r="M935" s="86"/>
      <c r="N935" s="22">
        <v>0.33064359426498402</v>
      </c>
    </row>
    <row r="936" spans="1:14" x14ac:dyDescent="0.35">
      <c r="A936" s="92"/>
      <c r="B936" s="20" t="s">
        <v>380</v>
      </c>
      <c r="C936" s="21">
        <v>0.75696202531645573</v>
      </c>
      <c r="D936" s="20">
        <v>0.2</v>
      </c>
      <c r="E936" s="21">
        <v>3.5443037974683553E-2</v>
      </c>
      <c r="F936" s="20">
        <v>7.5949367088607592E-3</v>
      </c>
      <c r="G936" s="21">
        <v>299</v>
      </c>
      <c r="H936" s="20">
        <v>79</v>
      </c>
      <c r="I936" s="21">
        <v>14</v>
      </c>
      <c r="J936" s="20">
        <v>3</v>
      </c>
      <c r="K936" s="38">
        <v>395</v>
      </c>
      <c r="L936" s="20" t="s">
        <v>53</v>
      </c>
      <c r="M936" s="86"/>
      <c r="N936" s="22">
        <v>0.62112170457839999</v>
      </c>
    </row>
    <row r="937" spans="1:14" x14ac:dyDescent="0.35">
      <c r="A937" s="92"/>
      <c r="B937" s="20" t="s">
        <v>11</v>
      </c>
      <c r="C937" s="21">
        <v>0.67724867724867721</v>
      </c>
      <c r="D937" s="20">
        <v>0.2821869488536155</v>
      </c>
      <c r="E937" s="21">
        <v>3.5273368606701938E-2</v>
      </c>
      <c r="F937" s="20">
        <v>5.2910052910052907E-3</v>
      </c>
      <c r="G937" s="21">
        <v>384</v>
      </c>
      <c r="H937" s="20">
        <v>160</v>
      </c>
      <c r="I937" s="21">
        <v>20</v>
      </c>
      <c r="J937" s="20">
        <v>3</v>
      </c>
      <c r="K937" s="38">
        <v>567</v>
      </c>
      <c r="L937" s="20" t="s">
        <v>53</v>
      </c>
      <c r="M937" s="86"/>
      <c r="N937" s="22">
        <v>0.48861053586006198</v>
      </c>
    </row>
    <row r="938" spans="1:14" x14ac:dyDescent="0.35">
      <c r="A938" s="92"/>
      <c r="B938" s="20" t="s">
        <v>21</v>
      </c>
      <c r="C938" s="21">
        <v>0.39802631578947367</v>
      </c>
      <c r="D938" s="20">
        <v>0.54769736842105265</v>
      </c>
      <c r="E938" s="21">
        <v>3.125E-2</v>
      </c>
      <c r="F938" s="20">
        <v>2.3026315789473679E-2</v>
      </c>
      <c r="G938" s="21">
        <v>242</v>
      </c>
      <c r="H938" s="20">
        <v>333</v>
      </c>
      <c r="I938" s="21">
        <v>19</v>
      </c>
      <c r="J938" s="20">
        <v>14</v>
      </c>
      <c r="K938" s="38">
        <v>608</v>
      </c>
      <c r="L938" s="20" t="s">
        <v>53</v>
      </c>
      <c r="M938" s="86"/>
      <c r="N938" s="22">
        <v>0.82756721973419201</v>
      </c>
    </row>
    <row r="939" spans="1:14" ht="16" thickBot="1" x14ac:dyDescent="0.4">
      <c r="A939" s="93"/>
      <c r="B939" s="26" t="s">
        <v>381</v>
      </c>
      <c r="C939" s="27">
        <v>0.67261904761904767</v>
      </c>
      <c r="D939" s="26">
        <v>0.26488095238095238</v>
      </c>
      <c r="E939" s="27">
        <v>4.7619047619047623E-2</v>
      </c>
      <c r="F939" s="26">
        <v>1.488095238095238E-2</v>
      </c>
      <c r="G939" s="27">
        <v>226</v>
      </c>
      <c r="H939" s="26">
        <v>89</v>
      </c>
      <c r="I939" s="27">
        <v>16</v>
      </c>
      <c r="J939" s="26">
        <v>5</v>
      </c>
      <c r="K939" s="39">
        <v>336</v>
      </c>
      <c r="L939" s="26" t="s">
        <v>53</v>
      </c>
      <c r="M939" s="87"/>
      <c r="N939" s="28">
        <v>0.73074114322662398</v>
      </c>
    </row>
    <row r="940" spans="1:14" x14ac:dyDescent="0.35">
      <c r="A940" s="88" t="s">
        <v>515</v>
      </c>
      <c r="B940" s="8" t="s">
        <v>29</v>
      </c>
      <c r="C940" s="9">
        <v>0.53564547206165702</v>
      </c>
      <c r="D940" s="8">
        <v>0.39499036608863197</v>
      </c>
      <c r="E940" s="9">
        <v>5.5876685934489398E-2</v>
      </c>
      <c r="F940" s="8">
        <v>1.348747591522158E-2</v>
      </c>
      <c r="G940" s="9">
        <v>278</v>
      </c>
      <c r="H940" s="8">
        <v>205</v>
      </c>
      <c r="I940" s="9">
        <v>29</v>
      </c>
      <c r="J940" s="8">
        <v>7</v>
      </c>
      <c r="K940" s="34">
        <v>519</v>
      </c>
      <c r="L940" s="8" t="s">
        <v>23</v>
      </c>
      <c r="M940" s="82">
        <v>-0.20909713208675401</v>
      </c>
      <c r="N940" s="10">
        <v>4.84162047505379E-2</v>
      </c>
    </row>
    <row r="941" spans="1:14" x14ac:dyDescent="0.35">
      <c r="A941" s="89"/>
      <c r="B941" s="11" t="s">
        <v>25</v>
      </c>
      <c r="C941" s="12">
        <v>0.56432748538011701</v>
      </c>
      <c r="D941" s="11">
        <v>0.31871345029239773</v>
      </c>
      <c r="E941" s="12">
        <v>8.771929824561403E-2</v>
      </c>
      <c r="F941" s="11">
        <v>2.923976608187134E-2</v>
      </c>
      <c r="G941" s="12">
        <v>193</v>
      </c>
      <c r="H941" s="11">
        <v>109</v>
      </c>
      <c r="I941" s="12">
        <v>30</v>
      </c>
      <c r="J941" s="11">
        <v>10</v>
      </c>
      <c r="K941" s="35">
        <v>342</v>
      </c>
      <c r="L941" s="11" t="s">
        <v>23</v>
      </c>
      <c r="M941" s="83"/>
      <c r="N941" s="13">
        <v>0.237732723355293</v>
      </c>
    </row>
    <row r="942" spans="1:14" x14ac:dyDescent="0.35">
      <c r="A942" s="89"/>
      <c r="B942" s="11" t="s">
        <v>63</v>
      </c>
      <c r="C942" s="12">
        <v>0.51271186440677963</v>
      </c>
      <c r="D942" s="11">
        <v>0.38559322033898308</v>
      </c>
      <c r="E942" s="12">
        <v>4.2372881355932202E-2</v>
      </c>
      <c r="F942" s="11">
        <v>5.9322033898305093E-2</v>
      </c>
      <c r="G942" s="12">
        <v>121</v>
      </c>
      <c r="H942" s="11">
        <v>91</v>
      </c>
      <c r="I942" s="12">
        <v>10</v>
      </c>
      <c r="J942" s="11">
        <v>14</v>
      </c>
      <c r="K942" s="35">
        <v>236</v>
      </c>
      <c r="L942" s="11" t="s">
        <v>23</v>
      </c>
      <c r="M942" s="83"/>
      <c r="N942" s="13">
        <v>-0.265267223119736</v>
      </c>
    </row>
    <row r="943" spans="1:14" x14ac:dyDescent="0.35">
      <c r="A943" s="89"/>
      <c r="B943" s="11" t="s">
        <v>380</v>
      </c>
      <c r="C943" s="12">
        <v>0.64303797468354429</v>
      </c>
      <c r="D943" s="11">
        <v>0.2810126582278481</v>
      </c>
      <c r="E943" s="12">
        <v>6.0759493670886067E-2</v>
      </c>
      <c r="F943" s="11">
        <v>1.518987341772152E-2</v>
      </c>
      <c r="G943" s="12">
        <v>254</v>
      </c>
      <c r="H943" s="11">
        <v>111</v>
      </c>
      <c r="I943" s="12">
        <v>24</v>
      </c>
      <c r="J943" s="11">
        <v>6</v>
      </c>
      <c r="K943" s="35">
        <v>395</v>
      </c>
      <c r="L943" s="11" t="s">
        <v>23</v>
      </c>
      <c r="M943" s="83"/>
      <c r="N943" s="13">
        <v>8.49344357848167E-2</v>
      </c>
    </row>
    <row r="944" spans="1:14" x14ac:dyDescent="0.35">
      <c r="A944" s="89"/>
      <c r="B944" s="11" t="s">
        <v>11</v>
      </c>
      <c r="C944" s="12">
        <v>0.64550264550264547</v>
      </c>
      <c r="D944" s="11">
        <v>0.26455026455026448</v>
      </c>
      <c r="E944" s="12">
        <v>5.8201058201058198E-2</v>
      </c>
      <c r="F944" s="11">
        <v>3.1746031746031737E-2</v>
      </c>
      <c r="G944" s="12">
        <v>366</v>
      </c>
      <c r="H944" s="11">
        <v>150</v>
      </c>
      <c r="I944" s="12">
        <v>33</v>
      </c>
      <c r="J944" s="11">
        <v>18</v>
      </c>
      <c r="K944" s="35">
        <v>567</v>
      </c>
      <c r="L944" s="11" t="s">
        <v>23</v>
      </c>
      <c r="M944" s="83"/>
      <c r="N944" s="13">
        <v>0.270933777093887</v>
      </c>
    </row>
    <row r="945" spans="1:14" x14ac:dyDescent="0.35">
      <c r="A945" s="89"/>
      <c r="B945" s="11" t="s">
        <v>21</v>
      </c>
      <c r="C945" s="12">
        <v>0.49506578947368418</v>
      </c>
      <c r="D945" s="11">
        <v>0.37006578947368418</v>
      </c>
      <c r="E945" s="12">
        <v>7.5657894736842105E-2</v>
      </c>
      <c r="F945" s="11">
        <v>5.921052631578947E-2</v>
      </c>
      <c r="G945" s="12">
        <v>301</v>
      </c>
      <c r="H945" s="11">
        <v>225</v>
      </c>
      <c r="I945" s="12">
        <v>46</v>
      </c>
      <c r="J945" s="11">
        <v>36</v>
      </c>
      <c r="K945" s="35">
        <v>608</v>
      </c>
      <c r="L945" s="11" t="s">
        <v>23</v>
      </c>
      <c r="M945" s="83"/>
      <c r="N945" s="13">
        <v>0.33521664142608598</v>
      </c>
    </row>
    <row r="946" spans="1:14" ht="16" thickBot="1" x14ac:dyDescent="0.4">
      <c r="A946" s="90"/>
      <c r="B946" s="14" t="s">
        <v>381</v>
      </c>
      <c r="C946" s="15">
        <v>0.6160714285714286</v>
      </c>
      <c r="D946" s="14">
        <v>0.26488095238095238</v>
      </c>
      <c r="E946" s="15">
        <v>0.1041666666666667</v>
      </c>
      <c r="F946" s="14">
        <v>1.488095238095238E-2</v>
      </c>
      <c r="G946" s="15">
        <v>207</v>
      </c>
      <c r="H946" s="14">
        <v>89</v>
      </c>
      <c r="I946" s="15">
        <v>35</v>
      </c>
      <c r="J946" s="14">
        <v>5</v>
      </c>
      <c r="K946" s="36">
        <v>336</v>
      </c>
      <c r="L946" s="14" t="s">
        <v>23</v>
      </c>
      <c r="M946" s="84"/>
      <c r="N946" s="16">
        <v>7.4052020907401997E-2</v>
      </c>
    </row>
    <row r="947" spans="1:14" x14ac:dyDescent="0.35">
      <c r="A947" s="91" t="s">
        <v>516</v>
      </c>
      <c r="B947" s="17" t="s">
        <v>29</v>
      </c>
      <c r="C947" s="18">
        <v>0.50096339113680155</v>
      </c>
      <c r="D947" s="17">
        <v>0.19267822736030829</v>
      </c>
      <c r="E947" s="18">
        <v>0.29094412331406549</v>
      </c>
      <c r="F947" s="17">
        <v>1.5414258188824659E-2</v>
      </c>
      <c r="G947" s="18">
        <v>260</v>
      </c>
      <c r="H947" s="17">
        <v>100</v>
      </c>
      <c r="I947" s="18">
        <v>151</v>
      </c>
      <c r="J947" s="17">
        <v>8</v>
      </c>
      <c r="K947" s="37">
        <v>519</v>
      </c>
      <c r="L947" s="17" t="s">
        <v>59</v>
      </c>
      <c r="M947" s="85">
        <v>-0.69977027177810702</v>
      </c>
      <c r="N947" s="19">
        <v>0.60248476266860995</v>
      </c>
    </row>
    <row r="948" spans="1:14" x14ac:dyDescent="0.35">
      <c r="A948" s="92"/>
      <c r="B948" s="20" t="s">
        <v>25</v>
      </c>
      <c r="C948" s="21">
        <v>0.67543859649122806</v>
      </c>
      <c r="D948" s="20">
        <v>0.17836257309941519</v>
      </c>
      <c r="E948" s="21">
        <v>0.13157894736842099</v>
      </c>
      <c r="F948" s="20">
        <v>1.461988304093567E-2</v>
      </c>
      <c r="G948" s="21">
        <v>231</v>
      </c>
      <c r="H948" s="20">
        <v>61</v>
      </c>
      <c r="I948" s="21">
        <v>45</v>
      </c>
      <c r="J948" s="20">
        <v>5</v>
      </c>
      <c r="K948" s="38">
        <v>342</v>
      </c>
      <c r="L948" s="20" t="s">
        <v>59</v>
      </c>
      <c r="M948" s="86"/>
      <c r="N948" s="22">
        <v>0.70835614204406705</v>
      </c>
    </row>
    <row r="949" spans="1:14" x14ac:dyDescent="0.35">
      <c r="A949" s="92"/>
      <c r="B949" s="20" t="s">
        <v>63</v>
      </c>
      <c r="C949" s="21">
        <v>0.75</v>
      </c>
      <c r="D949" s="20">
        <v>0.1228813559322034</v>
      </c>
      <c r="E949" s="21">
        <v>0.1186440677966102</v>
      </c>
      <c r="F949" s="20">
        <v>8.4745762711864406E-3</v>
      </c>
      <c r="G949" s="21">
        <v>177</v>
      </c>
      <c r="H949" s="20">
        <v>29</v>
      </c>
      <c r="I949" s="21">
        <v>28</v>
      </c>
      <c r="J949" s="20">
        <v>2</v>
      </c>
      <c r="K949" s="38">
        <v>236</v>
      </c>
      <c r="L949" s="20" t="s">
        <v>59</v>
      </c>
      <c r="M949" s="86"/>
      <c r="N949" s="22">
        <v>0.15905714035034199</v>
      </c>
    </row>
    <row r="950" spans="1:14" x14ac:dyDescent="0.35">
      <c r="A950" s="92"/>
      <c r="B950" s="20" t="s">
        <v>380</v>
      </c>
      <c r="C950" s="21">
        <v>0.78734177215189871</v>
      </c>
      <c r="D950" s="20">
        <v>0.13670886075949371</v>
      </c>
      <c r="E950" s="21">
        <v>7.5949367088607597E-2</v>
      </c>
      <c r="F950" s="20">
        <v>0</v>
      </c>
      <c r="G950" s="21">
        <v>311</v>
      </c>
      <c r="H950" s="20">
        <v>54</v>
      </c>
      <c r="I950" s="21">
        <v>30</v>
      </c>
      <c r="J950" s="20">
        <v>0</v>
      </c>
      <c r="K950" s="38">
        <v>395</v>
      </c>
      <c r="L950" s="20" t="s">
        <v>59</v>
      </c>
      <c r="M950" s="86"/>
      <c r="N950" s="22">
        <v>0.62434375286102295</v>
      </c>
    </row>
    <row r="951" spans="1:14" x14ac:dyDescent="0.35">
      <c r="A951" s="92"/>
      <c r="B951" s="20" t="s">
        <v>11</v>
      </c>
      <c r="C951" s="21">
        <v>0.78835978835978837</v>
      </c>
      <c r="D951" s="20">
        <v>0.11816578483245151</v>
      </c>
      <c r="E951" s="21">
        <v>9.1710758377425039E-2</v>
      </c>
      <c r="F951" s="20">
        <v>1.7636684303350969E-3</v>
      </c>
      <c r="G951" s="21">
        <v>447</v>
      </c>
      <c r="H951" s="20">
        <v>67</v>
      </c>
      <c r="I951" s="21">
        <v>52</v>
      </c>
      <c r="J951" s="20">
        <v>1</v>
      </c>
      <c r="K951" s="38">
        <v>567</v>
      </c>
      <c r="L951" s="20" t="s">
        <v>59</v>
      </c>
      <c r="M951" s="86"/>
      <c r="N951" s="22">
        <v>0.61571884155273404</v>
      </c>
    </row>
    <row r="952" spans="1:14" x14ac:dyDescent="0.35">
      <c r="A952" s="92"/>
      <c r="B952" s="20" t="s">
        <v>21</v>
      </c>
      <c r="C952" s="21">
        <v>0.43585526315789469</v>
      </c>
      <c r="D952" s="20">
        <v>0.43914473684210531</v>
      </c>
      <c r="E952" s="21">
        <v>0.1101973684210526</v>
      </c>
      <c r="F952" s="20">
        <v>1.4802631578947369E-2</v>
      </c>
      <c r="G952" s="21">
        <v>265</v>
      </c>
      <c r="H952" s="20">
        <v>267</v>
      </c>
      <c r="I952" s="21">
        <v>67</v>
      </c>
      <c r="J952" s="20">
        <v>9</v>
      </c>
      <c r="K952" s="38">
        <v>608</v>
      </c>
      <c r="L952" s="20" t="s">
        <v>59</v>
      </c>
      <c r="M952" s="86"/>
      <c r="N952" s="22">
        <v>0.70017558336257901</v>
      </c>
    </row>
    <row r="953" spans="1:14" ht="16" thickBot="1" x14ac:dyDescent="0.4">
      <c r="A953" s="93"/>
      <c r="B953" s="26" t="s">
        <v>381</v>
      </c>
      <c r="C953" s="27">
        <v>0.68154761904761907</v>
      </c>
      <c r="D953" s="26">
        <v>0.16666666666666671</v>
      </c>
      <c r="E953" s="27">
        <v>0.14583333333333329</v>
      </c>
      <c r="F953" s="26">
        <v>5.9523809523809521E-3</v>
      </c>
      <c r="G953" s="27">
        <v>229</v>
      </c>
      <c r="H953" s="26">
        <v>56</v>
      </c>
      <c r="I953" s="27">
        <v>49</v>
      </c>
      <c r="J953" s="26">
        <v>2</v>
      </c>
      <c r="K953" s="39">
        <v>336</v>
      </c>
      <c r="L953" s="26" t="s">
        <v>59</v>
      </c>
      <c r="M953" s="87"/>
      <c r="N953" s="28">
        <v>0.60557955503463701</v>
      </c>
    </row>
    <row r="954" spans="1:14" x14ac:dyDescent="0.35">
      <c r="A954" s="88" t="s">
        <v>517</v>
      </c>
      <c r="B954" s="8" t="s">
        <v>29</v>
      </c>
      <c r="C954" s="9">
        <v>0.46435452793834298</v>
      </c>
      <c r="D954" s="8">
        <v>0.39113680154142583</v>
      </c>
      <c r="E954" s="9">
        <v>3.2755298651252408E-2</v>
      </c>
      <c r="F954" s="8">
        <v>0.1117533718689788</v>
      </c>
      <c r="G954" s="9">
        <v>241</v>
      </c>
      <c r="H954" s="8">
        <v>203</v>
      </c>
      <c r="I954" s="9">
        <v>17</v>
      </c>
      <c r="J954" s="8">
        <v>58</v>
      </c>
      <c r="K954" s="34">
        <v>519</v>
      </c>
      <c r="L954" s="8" t="s">
        <v>44</v>
      </c>
      <c r="M954" s="82">
        <v>-0.55323708057403598</v>
      </c>
      <c r="N954" s="10">
        <v>0.48640796542167702</v>
      </c>
    </row>
    <row r="955" spans="1:14" x14ac:dyDescent="0.35">
      <c r="A955" s="89"/>
      <c r="B955" s="11" t="s">
        <v>25</v>
      </c>
      <c r="C955" s="12">
        <v>0.52046783625730997</v>
      </c>
      <c r="D955" s="11">
        <v>0.39473684210526322</v>
      </c>
      <c r="E955" s="12">
        <v>1.461988304093567E-2</v>
      </c>
      <c r="F955" s="11">
        <v>7.0175438596491224E-2</v>
      </c>
      <c r="G955" s="12">
        <v>178</v>
      </c>
      <c r="H955" s="11">
        <v>135</v>
      </c>
      <c r="I955" s="12">
        <v>5</v>
      </c>
      <c r="J955" s="11">
        <v>24</v>
      </c>
      <c r="K955" s="35">
        <v>342</v>
      </c>
      <c r="L955" s="11" t="s">
        <v>44</v>
      </c>
      <c r="M955" s="83"/>
      <c r="N955" s="13">
        <v>0.52771985530853305</v>
      </c>
    </row>
    <row r="956" spans="1:14" x14ac:dyDescent="0.35">
      <c r="A956" s="89"/>
      <c r="B956" s="11" t="s">
        <v>63</v>
      </c>
      <c r="C956" s="12">
        <v>0.2923728813559322</v>
      </c>
      <c r="D956" s="11">
        <v>0.59322033898305082</v>
      </c>
      <c r="E956" s="12">
        <v>6.7796610169491525E-2</v>
      </c>
      <c r="F956" s="11">
        <v>4.6610169491525417E-2</v>
      </c>
      <c r="G956" s="12">
        <v>69</v>
      </c>
      <c r="H956" s="11">
        <v>140</v>
      </c>
      <c r="I956" s="12">
        <v>16</v>
      </c>
      <c r="J956" s="11">
        <v>11</v>
      </c>
      <c r="K956" s="35">
        <v>236</v>
      </c>
      <c r="L956" s="11" t="s">
        <v>44</v>
      </c>
      <c r="M956" s="83"/>
      <c r="N956" s="13">
        <v>-0.16629180312156699</v>
      </c>
    </row>
    <row r="957" spans="1:14" x14ac:dyDescent="0.35">
      <c r="A957" s="89"/>
      <c r="B957" s="11" t="s">
        <v>380</v>
      </c>
      <c r="C957" s="12">
        <v>0.69873417721518982</v>
      </c>
      <c r="D957" s="11">
        <v>0.24556962025316459</v>
      </c>
      <c r="E957" s="12">
        <v>4.3037974683544297E-2</v>
      </c>
      <c r="F957" s="11">
        <v>1.2658227848101271E-2</v>
      </c>
      <c r="G957" s="12">
        <v>276</v>
      </c>
      <c r="H957" s="11">
        <v>97</v>
      </c>
      <c r="I957" s="12">
        <v>17</v>
      </c>
      <c r="J957" s="11">
        <v>5</v>
      </c>
      <c r="K957" s="35">
        <v>395</v>
      </c>
      <c r="L957" s="11" t="s">
        <v>44</v>
      </c>
      <c r="M957" s="83"/>
      <c r="N957" s="13">
        <v>0.46564444899558999</v>
      </c>
    </row>
    <row r="958" spans="1:14" x14ac:dyDescent="0.35">
      <c r="A958" s="89"/>
      <c r="B958" s="11" t="s">
        <v>11</v>
      </c>
      <c r="C958" s="12">
        <v>0.74779541446208109</v>
      </c>
      <c r="D958" s="11">
        <v>0.17989417989417991</v>
      </c>
      <c r="E958" s="12">
        <v>3.7037037037037028E-2</v>
      </c>
      <c r="F958" s="11">
        <v>3.5273368606701938E-2</v>
      </c>
      <c r="G958" s="12">
        <v>424</v>
      </c>
      <c r="H958" s="11">
        <v>102</v>
      </c>
      <c r="I958" s="12">
        <v>21</v>
      </c>
      <c r="J958" s="11">
        <v>20</v>
      </c>
      <c r="K958" s="35">
        <v>567</v>
      </c>
      <c r="L958" s="11" t="s">
        <v>44</v>
      </c>
      <c r="M958" s="83"/>
      <c r="N958" s="13">
        <v>0.66820639371871904</v>
      </c>
    </row>
    <row r="959" spans="1:14" x14ac:dyDescent="0.35">
      <c r="A959" s="89"/>
      <c r="B959" s="11" t="s">
        <v>21</v>
      </c>
      <c r="C959" s="12">
        <v>0.31907894736842107</v>
      </c>
      <c r="D959" s="11">
        <v>0.57401315789473684</v>
      </c>
      <c r="E959" s="12">
        <v>2.796052631578947E-2</v>
      </c>
      <c r="F959" s="11">
        <v>7.8947368421052627E-2</v>
      </c>
      <c r="G959" s="12">
        <v>194</v>
      </c>
      <c r="H959" s="11">
        <v>349</v>
      </c>
      <c r="I959" s="12">
        <v>17</v>
      </c>
      <c r="J959" s="11">
        <v>48</v>
      </c>
      <c r="K959" s="35">
        <v>608</v>
      </c>
      <c r="L959" s="11" t="s">
        <v>44</v>
      </c>
      <c r="M959" s="83"/>
      <c r="N959" s="13">
        <v>0.65614688396453902</v>
      </c>
    </row>
    <row r="960" spans="1:14" ht="16" thickBot="1" x14ac:dyDescent="0.4">
      <c r="A960" s="90"/>
      <c r="B960" s="14" t="s">
        <v>381</v>
      </c>
      <c r="C960" s="15">
        <v>0.43154761904761912</v>
      </c>
      <c r="D960" s="14">
        <v>0.47916666666666669</v>
      </c>
      <c r="E960" s="15">
        <v>4.7619047619047623E-2</v>
      </c>
      <c r="F960" s="14">
        <v>4.1666666666666657E-2</v>
      </c>
      <c r="G960" s="15">
        <v>145</v>
      </c>
      <c r="H960" s="14">
        <v>161</v>
      </c>
      <c r="I960" s="15">
        <v>16</v>
      </c>
      <c r="J960" s="14">
        <v>14</v>
      </c>
      <c r="K960" s="36">
        <v>336</v>
      </c>
      <c r="L960" s="14" t="s">
        <v>44</v>
      </c>
      <c r="M960" s="84"/>
      <c r="N960" s="16">
        <v>0.24262072145938901</v>
      </c>
    </row>
    <row r="961" spans="1:14" x14ac:dyDescent="0.35">
      <c r="A961" s="91" t="s">
        <v>518</v>
      </c>
      <c r="B961" s="17" t="s">
        <v>29</v>
      </c>
      <c r="C961" s="18">
        <v>0.5741811175337187</v>
      </c>
      <c r="D961" s="17">
        <v>0.28709055876685929</v>
      </c>
      <c r="E961" s="18">
        <v>9.6339113680154135E-3</v>
      </c>
      <c r="F961" s="17">
        <v>0.12909441233140659</v>
      </c>
      <c r="G961" s="18">
        <v>298</v>
      </c>
      <c r="H961" s="17">
        <v>149</v>
      </c>
      <c r="I961" s="18">
        <v>5</v>
      </c>
      <c r="J961" s="17">
        <v>67</v>
      </c>
      <c r="K961" s="37">
        <v>519</v>
      </c>
      <c r="L961" s="17" t="s">
        <v>10</v>
      </c>
      <c r="M961" s="85">
        <v>-0.89903211593627896</v>
      </c>
      <c r="N961" s="19">
        <v>0.86207950115203902</v>
      </c>
    </row>
    <row r="962" spans="1:14" x14ac:dyDescent="0.35">
      <c r="A962" s="92"/>
      <c r="B962" s="20" t="s">
        <v>25</v>
      </c>
      <c r="C962" s="21">
        <v>0.61988304093567248</v>
      </c>
      <c r="D962" s="20">
        <v>0.32163742690058478</v>
      </c>
      <c r="E962" s="21">
        <v>3.2163742690058478E-2</v>
      </c>
      <c r="F962" s="20">
        <v>2.6315789473684209E-2</v>
      </c>
      <c r="G962" s="21">
        <v>212</v>
      </c>
      <c r="H962" s="20">
        <v>110</v>
      </c>
      <c r="I962" s="21">
        <v>11</v>
      </c>
      <c r="J962" s="20">
        <v>9</v>
      </c>
      <c r="K962" s="38">
        <v>342</v>
      </c>
      <c r="L962" s="20" t="s">
        <v>10</v>
      </c>
      <c r="M962" s="86"/>
      <c r="N962" s="22">
        <v>0.76402509212493896</v>
      </c>
    </row>
    <row r="963" spans="1:14" x14ac:dyDescent="0.35">
      <c r="A963" s="92"/>
      <c r="B963" s="20" t="s">
        <v>63</v>
      </c>
      <c r="C963" s="21">
        <v>0.68644067796610164</v>
      </c>
      <c r="D963" s="20">
        <v>9.3220338983050849E-2</v>
      </c>
      <c r="E963" s="21">
        <v>4.2372881355932202E-2</v>
      </c>
      <c r="F963" s="20">
        <v>0.17796610169491531</v>
      </c>
      <c r="G963" s="21">
        <v>162</v>
      </c>
      <c r="H963" s="20">
        <v>22</v>
      </c>
      <c r="I963" s="21">
        <v>10</v>
      </c>
      <c r="J963" s="20">
        <v>42</v>
      </c>
      <c r="K963" s="38">
        <v>236</v>
      </c>
      <c r="L963" s="20" t="s">
        <v>10</v>
      </c>
      <c r="M963" s="86"/>
      <c r="N963" s="22">
        <v>0.592429339885712</v>
      </c>
    </row>
    <row r="964" spans="1:14" x14ac:dyDescent="0.35">
      <c r="A964" s="92"/>
      <c r="B964" s="20" t="s">
        <v>380</v>
      </c>
      <c r="C964" s="21">
        <v>0.76455696202531642</v>
      </c>
      <c r="D964" s="20">
        <v>0.18481012658227849</v>
      </c>
      <c r="E964" s="21">
        <v>2.5316455696202531E-2</v>
      </c>
      <c r="F964" s="20">
        <v>2.5316455696202531E-2</v>
      </c>
      <c r="G964" s="21">
        <v>302</v>
      </c>
      <c r="H964" s="20">
        <v>73</v>
      </c>
      <c r="I964" s="21">
        <v>10</v>
      </c>
      <c r="J964" s="20">
        <v>10</v>
      </c>
      <c r="K964" s="38">
        <v>395</v>
      </c>
      <c r="L964" s="20" t="s">
        <v>10</v>
      </c>
      <c r="M964" s="86"/>
      <c r="N964" s="22">
        <v>0.92762768268585205</v>
      </c>
    </row>
    <row r="965" spans="1:14" x14ac:dyDescent="0.35">
      <c r="A965" s="92"/>
      <c r="B965" s="20" t="s">
        <v>11</v>
      </c>
      <c r="C965" s="21">
        <v>0.77777777777777779</v>
      </c>
      <c r="D965" s="20">
        <v>0.1869488536155203</v>
      </c>
      <c r="E965" s="21">
        <v>2.469135802469136E-2</v>
      </c>
      <c r="F965" s="20">
        <v>1.058201058201058E-2</v>
      </c>
      <c r="G965" s="21">
        <v>441</v>
      </c>
      <c r="H965" s="20">
        <v>106</v>
      </c>
      <c r="I965" s="21">
        <v>14</v>
      </c>
      <c r="J965" s="20">
        <v>6</v>
      </c>
      <c r="K965" s="38">
        <v>567</v>
      </c>
      <c r="L965" s="20" t="s">
        <v>10</v>
      </c>
      <c r="M965" s="86"/>
      <c r="N965" s="22">
        <v>0.72499275207519498</v>
      </c>
    </row>
    <row r="966" spans="1:14" x14ac:dyDescent="0.35">
      <c r="A966" s="92"/>
      <c r="B966" s="20" t="s">
        <v>21</v>
      </c>
      <c r="C966" s="21">
        <v>0.4375</v>
      </c>
      <c r="D966" s="20">
        <v>0.46875</v>
      </c>
      <c r="E966" s="21">
        <v>8.2236842105263153E-3</v>
      </c>
      <c r="F966" s="20">
        <v>8.5526315789473686E-2</v>
      </c>
      <c r="G966" s="21">
        <v>266</v>
      </c>
      <c r="H966" s="20">
        <v>285</v>
      </c>
      <c r="I966" s="21">
        <v>5</v>
      </c>
      <c r="J966" s="20">
        <v>52</v>
      </c>
      <c r="K966" s="38">
        <v>608</v>
      </c>
      <c r="L966" s="20" t="s">
        <v>10</v>
      </c>
      <c r="M966" s="86"/>
      <c r="N966" s="22">
        <v>0.91779923439025901</v>
      </c>
    </row>
    <row r="967" spans="1:14" ht="16" thickBot="1" x14ac:dyDescent="0.4">
      <c r="A967" s="93"/>
      <c r="B967" s="26" t="s">
        <v>381</v>
      </c>
      <c r="C967" s="27">
        <v>0.6339285714285714</v>
      </c>
      <c r="D967" s="26">
        <v>0.28869047619047622</v>
      </c>
      <c r="E967" s="27">
        <v>5.3571428571428568E-2</v>
      </c>
      <c r="F967" s="26">
        <v>2.3809523809523812E-2</v>
      </c>
      <c r="G967" s="27">
        <v>213</v>
      </c>
      <c r="H967" s="26">
        <v>97</v>
      </c>
      <c r="I967" s="27">
        <v>18</v>
      </c>
      <c r="J967" s="26">
        <v>8</v>
      </c>
      <c r="K967" s="39">
        <v>336</v>
      </c>
      <c r="L967" s="26" t="s">
        <v>10</v>
      </c>
      <c r="M967" s="87"/>
      <c r="N967" s="28">
        <v>0.68196815252304099</v>
      </c>
    </row>
    <row r="968" spans="1:14" x14ac:dyDescent="0.35">
      <c r="A968" s="88" t="s">
        <v>519</v>
      </c>
      <c r="B968" s="8" t="s">
        <v>29</v>
      </c>
      <c r="C968" s="9">
        <v>0.45664739884393057</v>
      </c>
      <c r="D968" s="8">
        <v>0.34682080924855491</v>
      </c>
      <c r="E968" s="9">
        <v>2.504816955684008E-2</v>
      </c>
      <c r="F968" s="8">
        <v>0.17148362235067441</v>
      </c>
      <c r="G968" s="9">
        <v>237</v>
      </c>
      <c r="H968" s="8">
        <v>180</v>
      </c>
      <c r="I968" s="9">
        <v>13</v>
      </c>
      <c r="J968" s="8">
        <v>89</v>
      </c>
      <c r="K968" s="34">
        <v>519</v>
      </c>
      <c r="L968" s="8" t="s">
        <v>44</v>
      </c>
      <c r="M968" s="82">
        <v>-0.34196126461029103</v>
      </c>
      <c r="N968" s="10">
        <v>0.43195965886116</v>
      </c>
    </row>
    <row r="969" spans="1:14" x14ac:dyDescent="0.35">
      <c r="A969" s="89"/>
      <c r="B969" s="11" t="s">
        <v>25</v>
      </c>
      <c r="C969" s="12">
        <v>0.38596491228070168</v>
      </c>
      <c r="D969" s="11">
        <v>0.45906432748538012</v>
      </c>
      <c r="E969" s="12">
        <v>9.6491228070175433E-2</v>
      </c>
      <c r="F969" s="11">
        <v>5.8479532163742687E-2</v>
      </c>
      <c r="G969" s="12">
        <v>132</v>
      </c>
      <c r="H969" s="11">
        <v>157</v>
      </c>
      <c r="I969" s="12">
        <v>33</v>
      </c>
      <c r="J969" s="11">
        <v>20</v>
      </c>
      <c r="K969" s="35">
        <v>342</v>
      </c>
      <c r="L969" s="11" t="s">
        <v>44</v>
      </c>
      <c r="M969" s="83"/>
      <c r="N969" s="13">
        <v>0.34938046336174</v>
      </c>
    </row>
    <row r="970" spans="1:14" x14ac:dyDescent="0.35">
      <c r="A970" s="89"/>
      <c r="B970" s="11" t="s">
        <v>63</v>
      </c>
      <c r="C970" s="12">
        <v>0.20338983050847459</v>
      </c>
      <c r="D970" s="11">
        <v>0.5847457627118644</v>
      </c>
      <c r="E970" s="12">
        <v>0.1186440677966102</v>
      </c>
      <c r="F970" s="11">
        <v>9.3220338983050849E-2</v>
      </c>
      <c r="G970" s="12">
        <v>48</v>
      </c>
      <c r="H970" s="11">
        <v>138</v>
      </c>
      <c r="I970" s="12">
        <v>28</v>
      </c>
      <c r="J970" s="11">
        <v>22</v>
      </c>
      <c r="K970" s="35">
        <v>236</v>
      </c>
      <c r="L970" s="11" t="s">
        <v>44</v>
      </c>
      <c r="M970" s="83"/>
      <c r="N970" s="13">
        <v>-0.330481827259064</v>
      </c>
    </row>
    <row r="971" spans="1:14" x14ac:dyDescent="0.35">
      <c r="A971" s="89"/>
      <c r="B971" s="11" t="s">
        <v>380</v>
      </c>
      <c r="C971" s="12">
        <v>0.55696202531645567</v>
      </c>
      <c r="D971" s="11">
        <v>0.34430379746835438</v>
      </c>
      <c r="E971" s="12">
        <v>6.0759493670886067E-2</v>
      </c>
      <c r="F971" s="11">
        <v>3.7974683544303799E-2</v>
      </c>
      <c r="G971" s="12">
        <v>220</v>
      </c>
      <c r="H971" s="11">
        <v>136</v>
      </c>
      <c r="I971" s="12">
        <v>24</v>
      </c>
      <c r="J971" s="11">
        <v>15</v>
      </c>
      <c r="K971" s="35">
        <v>395</v>
      </c>
      <c r="L971" s="11" t="s">
        <v>44</v>
      </c>
      <c r="M971" s="83"/>
      <c r="N971" s="13">
        <v>0.28991237282753002</v>
      </c>
    </row>
    <row r="972" spans="1:14" x14ac:dyDescent="0.35">
      <c r="A972" s="89"/>
      <c r="B972" s="11" t="s">
        <v>11</v>
      </c>
      <c r="C972" s="12">
        <v>0.48677248677248669</v>
      </c>
      <c r="D972" s="11">
        <v>0.26102292768959429</v>
      </c>
      <c r="E972" s="12">
        <v>0.14462081128747789</v>
      </c>
      <c r="F972" s="11">
        <v>0.1075837742504409</v>
      </c>
      <c r="G972" s="12">
        <v>276</v>
      </c>
      <c r="H972" s="11">
        <v>148</v>
      </c>
      <c r="I972" s="12">
        <v>82</v>
      </c>
      <c r="J972" s="11">
        <v>61</v>
      </c>
      <c r="K972" s="35">
        <v>567</v>
      </c>
      <c r="L972" s="11" t="s">
        <v>44</v>
      </c>
      <c r="M972" s="83"/>
      <c r="N972" s="13">
        <v>0.390744298696518</v>
      </c>
    </row>
    <row r="973" spans="1:14" x14ac:dyDescent="0.35">
      <c r="A973" s="89"/>
      <c r="B973" s="11" t="s">
        <v>21</v>
      </c>
      <c r="C973" s="12">
        <v>0.26480263157894729</v>
      </c>
      <c r="D973" s="11">
        <v>0.48684210526315791</v>
      </c>
      <c r="E973" s="12">
        <v>9.375E-2</v>
      </c>
      <c r="F973" s="11">
        <v>0.15460526315789469</v>
      </c>
      <c r="G973" s="12">
        <v>161</v>
      </c>
      <c r="H973" s="11">
        <v>296</v>
      </c>
      <c r="I973" s="12">
        <v>57</v>
      </c>
      <c r="J973" s="11">
        <v>94</v>
      </c>
      <c r="K973" s="35">
        <v>608</v>
      </c>
      <c r="L973" s="11" t="s">
        <v>44</v>
      </c>
      <c r="M973" s="83"/>
      <c r="N973" s="13">
        <v>0.54990833997726396</v>
      </c>
    </row>
    <row r="974" spans="1:14" ht="16" thickBot="1" x14ac:dyDescent="0.4">
      <c r="A974" s="90"/>
      <c r="B974" s="14" t="s">
        <v>381</v>
      </c>
      <c r="C974" s="15">
        <v>0.35119047619047622</v>
      </c>
      <c r="D974" s="14">
        <v>0.51488095238095233</v>
      </c>
      <c r="E974" s="15">
        <v>0.1160714285714286</v>
      </c>
      <c r="F974" s="14">
        <v>1.785714285714286E-2</v>
      </c>
      <c r="G974" s="15">
        <v>118</v>
      </c>
      <c r="H974" s="14">
        <v>173</v>
      </c>
      <c r="I974" s="15">
        <v>39</v>
      </c>
      <c r="J974" s="14">
        <v>6</v>
      </c>
      <c r="K974" s="36">
        <v>336</v>
      </c>
      <c r="L974" s="14" t="s">
        <v>44</v>
      </c>
      <c r="M974" s="84"/>
      <c r="N974" s="16">
        <v>0.13699522614479101</v>
      </c>
    </row>
    <row r="975" spans="1:14" x14ac:dyDescent="0.35">
      <c r="A975" s="91" t="s">
        <v>520</v>
      </c>
      <c r="B975" s="17" t="s">
        <v>29</v>
      </c>
      <c r="C975" s="18">
        <v>0.23892100192678231</v>
      </c>
      <c r="D975" s="17">
        <v>0.55105973025048172</v>
      </c>
      <c r="E975" s="18">
        <v>0.14065510597302511</v>
      </c>
      <c r="F975" s="17">
        <v>6.9364161849710976E-2</v>
      </c>
      <c r="G975" s="18">
        <v>124</v>
      </c>
      <c r="H975" s="17">
        <v>286</v>
      </c>
      <c r="I975" s="18">
        <v>73</v>
      </c>
      <c r="J975" s="17">
        <v>36</v>
      </c>
      <c r="K975" s="37">
        <v>519</v>
      </c>
      <c r="L975" s="17" t="s">
        <v>36</v>
      </c>
      <c r="M975" s="85">
        <v>0.88208246231079102</v>
      </c>
      <c r="N975" s="19">
        <v>-0.88808542490005504</v>
      </c>
    </row>
    <row r="976" spans="1:14" x14ac:dyDescent="0.35">
      <c r="A976" s="92"/>
      <c r="B976" s="20" t="s">
        <v>25</v>
      </c>
      <c r="C976" s="21">
        <v>0.21345029239766081</v>
      </c>
      <c r="D976" s="20">
        <v>0.73391812865497075</v>
      </c>
      <c r="E976" s="21">
        <v>4.9707602339181277E-2</v>
      </c>
      <c r="F976" s="20">
        <v>2.9239766081871339E-3</v>
      </c>
      <c r="G976" s="21">
        <v>73</v>
      </c>
      <c r="H976" s="20">
        <v>251</v>
      </c>
      <c r="I976" s="21">
        <v>17</v>
      </c>
      <c r="J976" s="20">
        <v>1</v>
      </c>
      <c r="K976" s="38">
        <v>342</v>
      </c>
      <c r="L976" s="20" t="s">
        <v>36</v>
      </c>
      <c r="M976" s="86"/>
      <c r="N976" s="22">
        <v>-0.91949647665023804</v>
      </c>
    </row>
    <row r="977" spans="1:14" x14ac:dyDescent="0.35">
      <c r="A977" s="92"/>
      <c r="B977" s="20" t="s">
        <v>63</v>
      </c>
      <c r="C977" s="21">
        <v>0.13135593220338981</v>
      </c>
      <c r="D977" s="20">
        <v>0.61440677966101698</v>
      </c>
      <c r="E977" s="21">
        <v>9.7457627118644072E-2</v>
      </c>
      <c r="F977" s="20">
        <v>0.15677966101694921</v>
      </c>
      <c r="G977" s="21">
        <v>31</v>
      </c>
      <c r="H977" s="20">
        <v>145</v>
      </c>
      <c r="I977" s="21">
        <v>23</v>
      </c>
      <c r="J977" s="20">
        <v>37</v>
      </c>
      <c r="K977" s="38">
        <v>236</v>
      </c>
      <c r="L977" s="20" t="s">
        <v>36</v>
      </c>
      <c r="M977" s="86"/>
      <c r="N977" s="22">
        <v>-0.99702054262161299</v>
      </c>
    </row>
    <row r="978" spans="1:14" x14ac:dyDescent="0.35">
      <c r="A978" s="92"/>
      <c r="B978" s="20" t="s">
        <v>380</v>
      </c>
      <c r="C978" s="21">
        <v>0.2</v>
      </c>
      <c r="D978" s="20">
        <v>0.620253164556962</v>
      </c>
      <c r="E978" s="21">
        <v>0.11139240506329109</v>
      </c>
      <c r="F978" s="20">
        <v>6.8354430379746839E-2</v>
      </c>
      <c r="G978" s="21">
        <v>79</v>
      </c>
      <c r="H978" s="20">
        <v>245</v>
      </c>
      <c r="I978" s="21">
        <v>44</v>
      </c>
      <c r="J978" s="20">
        <v>27</v>
      </c>
      <c r="K978" s="38">
        <v>395</v>
      </c>
      <c r="L978" s="20" t="s">
        <v>36</v>
      </c>
      <c r="M978" s="86"/>
      <c r="N978" s="22">
        <v>-0.77842342853546098</v>
      </c>
    </row>
    <row r="979" spans="1:14" x14ac:dyDescent="0.35">
      <c r="A979" s="92"/>
      <c r="B979" s="20" t="s">
        <v>11</v>
      </c>
      <c r="C979" s="21">
        <v>0.20634920634920631</v>
      </c>
      <c r="D979" s="20">
        <v>0.70546737213403876</v>
      </c>
      <c r="E979" s="21">
        <v>8.6419753086419748E-2</v>
      </c>
      <c r="F979" s="20">
        <v>1.7636684303350969E-3</v>
      </c>
      <c r="G979" s="21">
        <v>117</v>
      </c>
      <c r="H979" s="20">
        <v>400</v>
      </c>
      <c r="I979" s="21">
        <v>49</v>
      </c>
      <c r="J979" s="20">
        <v>1</v>
      </c>
      <c r="K979" s="38">
        <v>567</v>
      </c>
      <c r="L979" s="20" t="s">
        <v>36</v>
      </c>
      <c r="M979" s="86"/>
      <c r="N979" s="22">
        <v>-0.66381639242172197</v>
      </c>
    </row>
    <row r="980" spans="1:14" x14ac:dyDescent="0.35">
      <c r="A980" s="92"/>
      <c r="B980" s="20" t="s">
        <v>21</v>
      </c>
      <c r="C980" s="21">
        <v>0.5</v>
      </c>
      <c r="D980" s="20">
        <v>0.37006578947368418</v>
      </c>
      <c r="E980" s="21">
        <v>0.11348684210526321</v>
      </c>
      <c r="F980" s="20">
        <v>1.6447368421052631E-2</v>
      </c>
      <c r="G980" s="21">
        <v>304</v>
      </c>
      <c r="H980" s="20">
        <v>225</v>
      </c>
      <c r="I980" s="21">
        <v>69</v>
      </c>
      <c r="J980" s="20">
        <v>10</v>
      </c>
      <c r="K980" s="38">
        <v>608</v>
      </c>
      <c r="L980" s="20" t="s">
        <v>36</v>
      </c>
      <c r="M980" s="86"/>
      <c r="N980" s="22">
        <v>-0.87501430511474598</v>
      </c>
    </row>
    <row r="981" spans="1:14" ht="16" thickBot="1" x14ac:dyDescent="0.4">
      <c r="A981" s="93"/>
      <c r="B981" s="26" t="s">
        <v>381</v>
      </c>
      <c r="C981" s="27">
        <v>0.19345238095238099</v>
      </c>
      <c r="D981" s="26">
        <v>0.74702380952380953</v>
      </c>
      <c r="E981" s="27">
        <v>4.7619047619047623E-2</v>
      </c>
      <c r="F981" s="26">
        <v>1.1904761904761901E-2</v>
      </c>
      <c r="G981" s="27">
        <v>65</v>
      </c>
      <c r="H981" s="26">
        <v>251</v>
      </c>
      <c r="I981" s="27">
        <v>16</v>
      </c>
      <c r="J981" s="26">
        <v>4</v>
      </c>
      <c r="K981" s="39">
        <v>336</v>
      </c>
      <c r="L981" s="26" t="s">
        <v>36</v>
      </c>
      <c r="M981" s="87"/>
      <c r="N981" s="28">
        <v>-0.87168836593627896</v>
      </c>
    </row>
    <row r="982" spans="1:14" x14ac:dyDescent="0.35">
      <c r="A982" s="88" t="s">
        <v>521</v>
      </c>
      <c r="B982" s="8" t="s">
        <v>29</v>
      </c>
      <c r="C982" s="9">
        <v>0.60500963391136797</v>
      </c>
      <c r="D982" s="8">
        <v>0.38342967244701348</v>
      </c>
      <c r="E982" s="9">
        <v>5.7803468208092483E-3</v>
      </c>
      <c r="F982" s="8">
        <v>5.7803468208092483E-3</v>
      </c>
      <c r="G982" s="9">
        <v>314</v>
      </c>
      <c r="H982" s="8">
        <v>199</v>
      </c>
      <c r="I982" s="9">
        <v>3</v>
      </c>
      <c r="J982" s="8">
        <v>3</v>
      </c>
      <c r="K982" s="34">
        <v>519</v>
      </c>
      <c r="L982" s="8" t="s">
        <v>67</v>
      </c>
      <c r="M982" s="82">
        <v>-0.91653048992157005</v>
      </c>
      <c r="N982" s="10">
        <v>0.89764809608459495</v>
      </c>
    </row>
    <row r="983" spans="1:14" x14ac:dyDescent="0.35">
      <c r="A983" s="89"/>
      <c r="B983" s="11" t="s">
        <v>25</v>
      </c>
      <c r="C983" s="12">
        <v>0.67836257309941517</v>
      </c>
      <c r="D983" s="11">
        <v>0.30994152046783618</v>
      </c>
      <c r="E983" s="12">
        <v>1.1695906432748541E-2</v>
      </c>
      <c r="F983" s="11">
        <v>0</v>
      </c>
      <c r="G983" s="12">
        <v>232</v>
      </c>
      <c r="H983" s="11">
        <v>106</v>
      </c>
      <c r="I983" s="12">
        <v>4</v>
      </c>
      <c r="J983" s="11">
        <v>0</v>
      </c>
      <c r="K983" s="35">
        <v>342</v>
      </c>
      <c r="L983" s="11" t="s">
        <v>67</v>
      </c>
      <c r="M983" s="83"/>
      <c r="N983" s="13">
        <v>0.84739428758621205</v>
      </c>
    </row>
    <row r="984" spans="1:14" x14ac:dyDescent="0.35">
      <c r="A984" s="89"/>
      <c r="B984" s="11" t="s">
        <v>63</v>
      </c>
      <c r="C984" s="12">
        <v>0.78813559322033899</v>
      </c>
      <c r="D984" s="11">
        <v>0.19491525423728809</v>
      </c>
      <c r="E984" s="12">
        <v>8.4745762711864406E-3</v>
      </c>
      <c r="F984" s="11">
        <v>8.4745762711864406E-3</v>
      </c>
      <c r="G984" s="12">
        <v>186</v>
      </c>
      <c r="H984" s="11">
        <v>46</v>
      </c>
      <c r="I984" s="12">
        <v>2</v>
      </c>
      <c r="J984" s="11">
        <v>2</v>
      </c>
      <c r="K984" s="35">
        <v>236</v>
      </c>
      <c r="L984" s="11" t="s">
        <v>67</v>
      </c>
      <c r="M984" s="83"/>
      <c r="N984" s="13">
        <v>0.67875868082046498</v>
      </c>
    </row>
    <row r="985" spans="1:14" x14ac:dyDescent="0.35">
      <c r="A985" s="89"/>
      <c r="B985" s="11" t="s">
        <v>380</v>
      </c>
      <c r="C985" s="12">
        <v>0.77468354430379749</v>
      </c>
      <c r="D985" s="11">
        <v>0.17215189873417719</v>
      </c>
      <c r="E985" s="12">
        <v>3.7974683544303799E-2</v>
      </c>
      <c r="F985" s="11">
        <v>1.518987341772152E-2</v>
      </c>
      <c r="G985" s="12">
        <v>306</v>
      </c>
      <c r="H985" s="11">
        <v>68</v>
      </c>
      <c r="I985" s="12">
        <v>15</v>
      </c>
      <c r="J985" s="11">
        <v>6</v>
      </c>
      <c r="K985" s="35">
        <v>395</v>
      </c>
      <c r="L985" s="11" t="s">
        <v>67</v>
      </c>
      <c r="M985" s="83"/>
      <c r="N985" s="13">
        <v>0.962926805019379</v>
      </c>
    </row>
    <row r="986" spans="1:14" x14ac:dyDescent="0.35">
      <c r="A986" s="89"/>
      <c r="B986" s="11" t="s">
        <v>11</v>
      </c>
      <c r="C986" s="12">
        <v>0.78835978835978837</v>
      </c>
      <c r="D986" s="11">
        <v>0.19576719576719581</v>
      </c>
      <c r="E986" s="12">
        <v>1.058201058201058E-2</v>
      </c>
      <c r="F986" s="11">
        <v>5.2910052910052907E-3</v>
      </c>
      <c r="G986" s="12">
        <v>447</v>
      </c>
      <c r="H986" s="11">
        <v>111</v>
      </c>
      <c r="I986" s="12">
        <v>6</v>
      </c>
      <c r="J986" s="11">
        <v>3</v>
      </c>
      <c r="K986" s="35">
        <v>567</v>
      </c>
      <c r="L986" s="11" t="s">
        <v>67</v>
      </c>
      <c r="M986" s="83"/>
      <c r="N986" s="13">
        <v>0.68914937973022505</v>
      </c>
    </row>
    <row r="987" spans="1:14" x14ac:dyDescent="0.35">
      <c r="A987" s="89"/>
      <c r="B987" s="11" t="s">
        <v>21</v>
      </c>
      <c r="C987" s="12">
        <v>0.47532894736842107</v>
      </c>
      <c r="D987" s="11">
        <v>0.51809210526315785</v>
      </c>
      <c r="E987" s="12">
        <v>3.2894736842105261E-3</v>
      </c>
      <c r="F987" s="11">
        <v>3.2894736842105261E-3</v>
      </c>
      <c r="G987" s="12">
        <v>289</v>
      </c>
      <c r="H987" s="11">
        <v>315</v>
      </c>
      <c r="I987" s="12">
        <v>2</v>
      </c>
      <c r="J987" s="11">
        <v>2</v>
      </c>
      <c r="K987" s="35">
        <v>608</v>
      </c>
      <c r="L987" s="11" t="s">
        <v>67</v>
      </c>
      <c r="M987" s="83"/>
      <c r="N987" s="13">
        <v>0.88910847902297996</v>
      </c>
    </row>
    <row r="988" spans="1:14" ht="16" thickBot="1" x14ac:dyDescent="0.4">
      <c r="A988" s="90"/>
      <c r="B988" s="14" t="s">
        <v>381</v>
      </c>
      <c r="C988" s="15">
        <v>0.70238095238095233</v>
      </c>
      <c r="D988" s="14">
        <v>0.26488095238095238</v>
      </c>
      <c r="E988" s="15">
        <v>2.6785714285714281E-2</v>
      </c>
      <c r="F988" s="14">
        <v>5.9523809523809521E-3</v>
      </c>
      <c r="G988" s="15">
        <v>236</v>
      </c>
      <c r="H988" s="14">
        <v>89</v>
      </c>
      <c r="I988" s="15">
        <v>9</v>
      </c>
      <c r="J988" s="14">
        <v>2</v>
      </c>
      <c r="K988" s="36">
        <v>336</v>
      </c>
      <c r="L988" s="14" t="s">
        <v>67</v>
      </c>
      <c r="M988" s="84"/>
      <c r="N988" s="16">
        <v>0.89160245656967196</v>
      </c>
    </row>
    <row r="989" spans="1:14" x14ac:dyDescent="0.35">
      <c r="A989" s="91" t="s">
        <v>522</v>
      </c>
      <c r="B989" s="17" t="s">
        <v>29</v>
      </c>
      <c r="C989" s="18">
        <v>0.53757225433526012</v>
      </c>
      <c r="D989" s="17">
        <v>0.44123314065510599</v>
      </c>
      <c r="E989" s="18">
        <v>1.15606936416185E-2</v>
      </c>
      <c r="F989" s="17">
        <v>9.6339113680154135E-3</v>
      </c>
      <c r="G989" s="18">
        <v>279</v>
      </c>
      <c r="H989" s="17">
        <v>229</v>
      </c>
      <c r="I989" s="18">
        <v>6</v>
      </c>
      <c r="J989" s="17">
        <v>5</v>
      </c>
      <c r="K989" s="37">
        <v>519</v>
      </c>
      <c r="L989" s="17" t="s">
        <v>67</v>
      </c>
      <c r="M989" s="85">
        <v>-0.79764688014984098</v>
      </c>
      <c r="N989" s="19">
        <v>0.64641815423965499</v>
      </c>
    </row>
    <row r="990" spans="1:14" x14ac:dyDescent="0.35">
      <c r="A990" s="92"/>
      <c r="B990" s="20" t="s">
        <v>25</v>
      </c>
      <c r="C990" s="21">
        <v>0.65497076023391809</v>
      </c>
      <c r="D990" s="20">
        <v>0.28654970760233922</v>
      </c>
      <c r="E990" s="21">
        <v>2.923976608187134E-2</v>
      </c>
      <c r="F990" s="20">
        <v>2.923976608187134E-2</v>
      </c>
      <c r="G990" s="21">
        <v>224</v>
      </c>
      <c r="H990" s="20">
        <v>98</v>
      </c>
      <c r="I990" s="21">
        <v>10</v>
      </c>
      <c r="J990" s="20">
        <v>10</v>
      </c>
      <c r="K990" s="38">
        <v>342</v>
      </c>
      <c r="L990" s="20" t="s">
        <v>67</v>
      </c>
      <c r="M990" s="86"/>
      <c r="N990" s="22">
        <v>0.81236076354980502</v>
      </c>
    </row>
    <row r="991" spans="1:14" x14ac:dyDescent="0.35">
      <c r="A991" s="92"/>
      <c r="B991" s="20" t="s">
        <v>63</v>
      </c>
      <c r="C991" s="21">
        <v>0.75847457627118642</v>
      </c>
      <c r="D991" s="20">
        <v>0.19491525423728809</v>
      </c>
      <c r="E991" s="21">
        <v>2.966101694915254E-2</v>
      </c>
      <c r="F991" s="20">
        <v>1.6949152542372881E-2</v>
      </c>
      <c r="G991" s="21">
        <v>179</v>
      </c>
      <c r="H991" s="20">
        <v>46</v>
      </c>
      <c r="I991" s="21">
        <v>7</v>
      </c>
      <c r="J991" s="20">
        <v>4</v>
      </c>
      <c r="K991" s="38">
        <v>236</v>
      </c>
      <c r="L991" s="20" t="s">
        <v>67</v>
      </c>
      <c r="M991" s="86"/>
      <c r="N991" s="22">
        <v>0.57360959053039595</v>
      </c>
    </row>
    <row r="992" spans="1:14" x14ac:dyDescent="0.35">
      <c r="A992" s="92"/>
      <c r="B992" s="20" t="s">
        <v>380</v>
      </c>
      <c r="C992" s="21">
        <v>0.77468354430379749</v>
      </c>
      <c r="D992" s="20">
        <v>0.15189873417721519</v>
      </c>
      <c r="E992" s="21">
        <v>5.0632911392405063E-2</v>
      </c>
      <c r="F992" s="20">
        <v>2.2784810126582278E-2</v>
      </c>
      <c r="G992" s="21">
        <v>306</v>
      </c>
      <c r="H992" s="20">
        <v>60</v>
      </c>
      <c r="I992" s="21">
        <v>20</v>
      </c>
      <c r="J992" s="20">
        <v>9</v>
      </c>
      <c r="K992" s="38">
        <v>395</v>
      </c>
      <c r="L992" s="20" t="s">
        <v>67</v>
      </c>
      <c r="M992" s="86"/>
      <c r="N992" s="22">
        <v>0.70822763442993197</v>
      </c>
    </row>
    <row r="993" spans="1:14" x14ac:dyDescent="0.35">
      <c r="A993" s="92"/>
      <c r="B993" s="20" t="s">
        <v>11</v>
      </c>
      <c r="C993" s="21">
        <v>0.7707231040564374</v>
      </c>
      <c r="D993" s="20">
        <v>0.1710758377425044</v>
      </c>
      <c r="E993" s="21">
        <v>2.9982363315696651E-2</v>
      </c>
      <c r="F993" s="20">
        <v>2.821869488536155E-2</v>
      </c>
      <c r="G993" s="21">
        <v>437</v>
      </c>
      <c r="H993" s="20">
        <v>97</v>
      </c>
      <c r="I993" s="21">
        <v>17</v>
      </c>
      <c r="J993" s="20">
        <v>16</v>
      </c>
      <c r="K993" s="38">
        <v>567</v>
      </c>
      <c r="L993" s="20" t="s">
        <v>67</v>
      </c>
      <c r="M993" s="86"/>
      <c r="N993" s="22">
        <v>0.72395479679107699</v>
      </c>
    </row>
    <row r="994" spans="1:14" x14ac:dyDescent="0.35">
      <c r="A994" s="92"/>
      <c r="B994" s="20" t="s">
        <v>21</v>
      </c>
      <c r="C994" s="21">
        <v>0.36019736842105271</v>
      </c>
      <c r="D994" s="20">
        <v>0.54276315789473684</v>
      </c>
      <c r="E994" s="21">
        <v>6.7434210526315791E-2</v>
      </c>
      <c r="F994" s="20">
        <v>2.9605263157894739E-2</v>
      </c>
      <c r="G994" s="21">
        <v>219</v>
      </c>
      <c r="H994" s="20">
        <v>330</v>
      </c>
      <c r="I994" s="21">
        <v>41</v>
      </c>
      <c r="J994" s="20">
        <v>18</v>
      </c>
      <c r="K994" s="38">
        <v>608</v>
      </c>
      <c r="L994" s="20" t="s">
        <v>67</v>
      </c>
      <c r="M994" s="86"/>
      <c r="N994" s="22">
        <v>0.72510564327240001</v>
      </c>
    </row>
    <row r="995" spans="1:14" ht="16" thickBot="1" x14ac:dyDescent="0.4">
      <c r="A995" s="93"/>
      <c r="B995" s="26" t="s">
        <v>381</v>
      </c>
      <c r="C995" s="27">
        <v>0.66666666666666663</v>
      </c>
      <c r="D995" s="26">
        <v>0.23511904761904759</v>
      </c>
      <c r="E995" s="27">
        <v>6.8452380952380959E-2</v>
      </c>
      <c r="F995" s="26">
        <v>2.976190476190476E-2</v>
      </c>
      <c r="G995" s="27">
        <v>224</v>
      </c>
      <c r="H995" s="26">
        <v>79</v>
      </c>
      <c r="I995" s="27">
        <v>23</v>
      </c>
      <c r="J995" s="26">
        <v>10</v>
      </c>
      <c r="K995" s="39">
        <v>336</v>
      </c>
      <c r="L995" s="26" t="s">
        <v>67</v>
      </c>
      <c r="M995" s="87"/>
      <c r="N995" s="28">
        <v>0.709547638893127</v>
      </c>
    </row>
    <row r="996" spans="1:14" x14ac:dyDescent="0.35">
      <c r="A996" s="88" t="s">
        <v>523</v>
      </c>
      <c r="B996" s="8" t="s">
        <v>29</v>
      </c>
      <c r="C996" s="9">
        <v>0.12909441233140659</v>
      </c>
      <c r="D996" s="8">
        <v>0.34296724470134882</v>
      </c>
      <c r="E996" s="9">
        <v>0.13680154142581891</v>
      </c>
      <c r="F996" s="8">
        <v>0.39113680154142583</v>
      </c>
      <c r="G996" s="9">
        <v>67</v>
      </c>
      <c r="H996" s="8">
        <v>178</v>
      </c>
      <c r="I996" s="9">
        <v>71</v>
      </c>
      <c r="J996" s="8">
        <v>203</v>
      </c>
      <c r="K996" s="34">
        <v>519</v>
      </c>
      <c r="L996" s="8" t="s">
        <v>36</v>
      </c>
      <c r="M996" s="82">
        <v>0.68421190977096602</v>
      </c>
      <c r="N996" s="10">
        <v>-0.96178144216537498</v>
      </c>
    </row>
    <row r="997" spans="1:14" x14ac:dyDescent="0.35">
      <c r="A997" s="89"/>
      <c r="B997" s="11" t="s">
        <v>25</v>
      </c>
      <c r="C997" s="12">
        <v>0.26315789473684209</v>
      </c>
      <c r="D997" s="11">
        <v>0.49122807017543862</v>
      </c>
      <c r="E997" s="12">
        <v>0.1140350877192982</v>
      </c>
      <c r="F997" s="11">
        <v>0.13157894736842099</v>
      </c>
      <c r="G997" s="12">
        <v>90</v>
      </c>
      <c r="H997" s="11">
        <v>168</v>
      </c>
      <c r="I997" s="12">
        <v>39</v>
      </c>
      <c r="J997" s="11">
        <v>45</v>
      </c>
      <c r="K997" s="35">
        <v>342</v>
      </c>
      <c r="L997" s="11" t="s">
        <v>36</v>
      </c>
      <c r="M997" s="83"/>
      <c r="N997" s="13">
        <v>-0.74056100845336903</v>
      </c>
    </row>
    <row r="998" spans="1:14" x14ac:dyDescent="0.35">
      <c r="A998" s="89"/>
      <c r="B998" s="11" t="s">
        <v>63</v>
      </c>
      <c r="C998" s="12">
        <v>0.13135593220338981</v>
      </c>
      <c r="D998" s="11">
        <v>0.30932203389830509</v>
      </c>
      <c r="E998" s="12">
        <v>8.8983050847457626E-2</v>
      </c>
      <c r="F998" s="11">
        <v>0.47033898305084748</v>
      </c>
      <c r="G998" s="12">
        <v>31</v>
      </c>
      <c r="H998" s="11">
        <v>73</v>
      </c>
      <c r="I998" s="12">
        <v>21</v>
      </c>
      <c r="J998" s="11">
        <v>111</v>
      </c>
      <c r="K998" s="35">
        <v>236</v>
      </c>
      <c r="L998" s="11" t="s">
        <v>36</v>
      </c>
      <c r="M998" s="83"/>
      <c r="N998" s="13">
        <v>-0.88022518157958995</v>
      </c>
    </row>
    <row r="999" spans="1:14" x14ac:dyDescent="0.35">
      <c r="A999" s="89"/>
      <c r="B999" s="11" t="s">
        <v>380</v>
      </c>
      <c r="C999" s="12">
        <v>0.27341772151898741</v>
      </c>
      <c r="D999" s="11">
        <v>0.4962025316455696</v>
      </c>
      <c r="E999" s="12">
        <v>0.16708860759493671</v>
      </c>
      <c r="F999" s="11">
        <v>6.3291139240506333E-2</v>
      </c>
      <c r="G999" s="12">
        <v>108</v>
      </c>
      <c r="H999" s="11">
        <v>196</v>
      </c>
      <c r="I999" s="12">
        <v>66</v>
      </c>
      <c r="J999" s="11">
        <v>25</v>
      </c>
      <c r="K999" s="35">
        <v>395</v>
      </c>
      <c r="L999" s="11" t="s">
        <v>36</v>
      </c>
      <c r="M999" s="83"/>
      <c r="N999" s="13">
        <v>-0.84296125173568703</v>
      </c>
    </row>
    <row r="1000" spans="1:14" x14ac:dyDescent="0.35">
      <c r="A1000" s="89"/>
      <c r="B1000" s="11" t="s">
        <v>11</v>
      </c>
      <c r="C1000" s="12">
        <v>0.33686067019400351</v>
      </c>
      <c r="D1000" s="11">
        <v>0.36507936507936511</v>
      </c>
      <c r="E1000" s="12">
        <v>0.11816578483245151</v>
      </c>
      <c r="F1000" s="11">
        <v>0.17989417989417991</v>
      </c>
      <c r="G1000" s="12">
        <v>191</v>
      </c>
      <c r="H1000" s="11">
        <v>207</v>
      </c>
      <c r="I1000" s="12">
        <v>67</v>
      </c>
      <c r="J1000" s="11">
        <v>102</v>
      </c>
      <c r="K1000" s="35">
        <v>567</v>
      </c>
      <c r="L1000" s="11" t="s">
        <v>36</v>
      </c>
      <c r="M1000" s="83"/>
      <c r="N1000" s="13">
        <v>-0.14948509633541099</v>
      </c>
    </row>
    <row r="1001" spans="1:14" x14ac:dyDescent="0.35">
      <c r="A1001" s="89"/>
      <c r="B1001" s="11" t="s">
        <v>21</v>
      </c>
      <c r="C1001" s="12">
        <v>0.18914473684210531</v>
      </c>
      <c r="D1001" s="11">
        <v>0.14309210526315791</v>
      </c>
      <c r="E1001" s="12">
        <v>4.2763157894736843E-2</v>
      </c>
      <c r="F1001" s="11">
        <v>0.625</v>
      </c>
      <c r="G1001" s="12">
        <v>115</v>
      </c>
      <c r="H1001" s="11">
        <v>87</v>
      </c>
      <c r="I1001" s="12">
        <v>26</v>
      </c>
      <c r="J1001" s="11">
        <v>380</v>
      </c>
      <c r="K1001" s="35">
        <v>608</v>
      </c>
      <c r="L1001" s="11" t="s">
        <v>36</v>
      </c>
      <c r="M1001" s="83"/>
      <c r="N1001" s="13">
        <v>-0.73472857475280795</v>
      </c>
    </row>
    <row r="1002" spans="1:14" ht="16" thickBot="1" x14ac:dyDescent="0.4">
      <c r="A1002" s="90"/>
      <c r="B1002" s="14" t="s">
        <v>381</v>
      </c>
      <c r="C1002" s="15">
        <v>0.1964285714285714</v>
      </c>
      <c r="D1002" s="14">
        <v>0.29761904761904762</v>
      </c>
      <c r="E1002" s="15">
        <v>8.3333333333333329E-2</v>
      </c>
      <c r="F1002" s="14">
        <v>0.42261904761904762</v>
      </c>
      <c r="G1002" s="15">
        <v>66</v>
      </c>
      <c r="H1002" s="14">
        <v>100</v>
      </c>
      <c r="I1002" s="15">
        <v>28</v>
      </c>
      <c r="J1002" s="14">
        <v>142</v>
      </c>
      <c r="K1002" s="36">
        <v>336</v>
      </c>
      <c r="L1002" s="14" t="s">
        <v>36</v>
      </c>
      <c r="M1002" s="84"/>
      <c r="N1002" s="16">
        <v>-0.70087265968322798</v>
      </c>
    </row>
    <row r="1003" spans="1:14" x14ac:dyDescent="0.35">
      <c r="A1003" s="91" t="s">
        <v>524</v>
      </c>
      <c r="B1003" s="17" t="s">
        <v>29</v>
      </c>
      <c r="C1003" s="18">
        <v>0.48362235067437381</v>
      </c>
      <c r="D1003" s="17">
        <v>0.34489402697495181</v>
      </c>
      <c r="E1003" s="18">
        <v>1.926782273603083E-3</v>
      </c>
      <c r="F1003" s="17">
        <v>0.16955684007707131</v>
      </c>
      <c r="G1003" s="18">
        <v>251</v>
      </c>
      <c r="H1003" s="17">
        <v>179</v>
      </c>
      <c r="I1003" s="18">
        <v>1</v>
      </c>
      <c r="J1003" s="17">
        <v>88</v>
      </c>
      <c r="K1003" s="37">
        <v>519</v>
      </c>
      <c r="L1003" s="17" t="s">
        <v>10</v>
      </c>
      <c r="M1003" s="85">
        <v>-0.89494085311889604</v>
      </c>
      <c r="N1003" s="19">
        <v>0.83044517040252697</v>
      </c>
    </row>
    <row r="1004" spans="1:14" x14ac:dyDescent="0.35">
      <c r="A1004" s="92"/>
      <c r="B1004" s="20" t="s">
        <v>25</v>
      </c>
      <c r="C1004" s="21">
        <v>0.63450292397660824</v>
      </c>
      <c r="D1004" s="20">
        <v>0.3128654970760234</v>
      </c>
      <c r="E1004" s="21">
        <v>0</v>
      </c>
      <c r="F1004" s="20">
        <v>5.2631578947368418E-2</v>
      </c>
      <c r="G1004" s="21">
        <v>217</v>
      </c>
      <c r="H1004" s="20">
        <v>107</v>
      </c>
      <c r="I1004" s="21">
        <v>0</v>
      </c>
      <c r="J1004" s="20">
        <v>18</v>
      </c>
      <c r="K1004" s="38">
        <v>342</v>
      </c>
      <c r="L1004" s="20" t="s">
        <v>10</v>
      </c>
      <c r="M1004" s="86"/>
      <c r="N1004" s="22">
        <v>0.80641251802444502</v>
      </c>
    </row>
    <row r="1005" spans="1:14" x14ac:dyDescent="0.35">
      <c r="A1005" s="92"/>
      <c r="B1005" s="20" t="s">
        <v>63</v>
      </c>
      <c r="C1005" s="21">
        <v>0.75847457627118642</v>
      </c>
      <c r="D1005" s="20">
        <v>0.21186440677966101</v>
      </c>
      <c r="E1005" s="21">
        <v>1.271186440677966E-2</v>
      </c>
      <c r="F1005" s="20">
        <v>1.6949152542372881E-2</v>
      </c>
      <c r="G1005" s="21">
        <v>179</v>
      </c>
      <c r="H1005" s="20">
        <v>50</v>
      </c>
      <c r="I1005" s="21">
        <v>3</v>
      </c>
      <c r="J1005" s="20">
        <v>4</v>
      </c>
      <c r="K1005" s="38">
        <v>236</v>
      </c>
      <c r="L1005" s="20" t="s">
        <v>10</v>
      </c>
      <c r="M1005" s="86"/>
      <c r="N1005" s="22">
        <v>0.46514159440994302</v>
      </c>
    </row>
    <row r="1006" spans="1:14" x14ac:dyDescent="0.35">
      <c r="A1006" s="92"/>
      <c r="B1006" s="20" t="s">
        <v>380</v>
      </c>
      <c r="C1006" s="21">
        <v>0.6936708860759494</v>
      </c>
      <c r="D1006" s="20">
        <v>0.2151898734177215</v>
      </c>
      <c r="E1006" s="21">
        <v>0</v>
      </c>
      <c r="F1006" s="20">
        <v>9.1139240506329114E-2</v>
      </c>
      <c r="G1006" s="21">
        <v>274</v>
      </c>
      <c r="H1006" s="20">
        <v>85</v>
      </c>
      <c r="I1006" s="21">
        <v>0</v>
      </c>
      <c r="J1006" s="20">
        <v>36</v>
      </c>
      <c r="K1006" s="38">
        <v>395</v>
      </c>
      <c r="L1006" s="20" t="s">
        <v>10</v>
      </c>
      <c r="M1006" s="86"/>
      <c r="N1006" s="22">
        <v>0.79352784156799305</v>
      </c>
    </row>
    <row r="1007" spans="1:14" x14ac:dyDescent="0.35">
      <c r="A1007" s="92"/>
      <c r="B1007" s="20" t="s">
        <v>11</v>
      </c>
      <c r="C1007" s="21">
        <v>0.73015873015873012</v>
      </c>
      <c r="D1007" s="20">
        <v>0.19753086419753091</v>
      </c>
      <c r="E1007" s="21">
        <v>1.7636684303350969E-3</v>
      </c>
      <c r="F1007" s="20">
        <v>7.0546737213403876E-2</v>
      </c>
      <c r="G1007" s="21">
        <v>414</v>
      </c>
      <c r="H1007" s="20">
        <v>112</v>
      </c>
      <c r="I1007" s="21">
        <v>1</v>
      </c>
      <c r="J1007" s="20">
        <v>40</v>
      </c>
      <c r="K1007" s="38">
        <v>567</v>
      </c>
      <c r="L1007" s="20" t="s">
        <v>10</v>
      </c>
      <c r="M1007" s="86"/>
      <c r="N1007" s="22">
        <v>0.71651488542556796</v>
      </c>
    </row>
    <row r="1008" spans="1:14" x14ac:dyDescent="0.35">
      <c r="A1008" s="92"/>
      <c r="B1008" s="20" t="s">
        <v>21</v>
      </c>
      <c r="C1008" s="21">
        <v>0.45723684210526322</v>
      </c>
      <c r="D1008" s="20">
        <v>0.51644736842105265</v>
      </c>
      <c r="E1008" s="21">
        <v>1.6447368421052631E-3</v>
      </c>
      <c r="F1008" s="20">
        <v>2.4671052631578951E-2</v>
      </c>
      <c r="G1008" s="21">
        <v>278</v>
      </c>
      <c r="H1008" s="20">
        <v>314</v>
      </c>
      <c r="I1008" s="21">
        <v>1</v>
      </c>
      <c r="J1008" s="20">
        <v>15</v>
      </c>
      <c r="K1008" s="38">
        <v>608</v>
      </c>
      <c r="L1008" s="20" t="s">
        <v>10</v>
      </c>
      <c r="M1008" s="86"/>
      <c r="N1008" s="22">
        <v>0.92639464139938399</v>
      </c>
    </row>
    <row r="1009" spans="1:14" ht="16" thickBot="1" x14ac:dyDescent="0.4">
      <c r="A1009" s="93"/>
      <c r="B1009" s="26" t="s">
        <v>381</v>
      </c>
      <c r="C1009" s="27">
        <v>0.69940476190476186</v>
      </c>
      <c r="D1009" s="26">
        <v>0.28869047619047622</v>
      </c>
      <c r="E1009" s="27">
        <v>5.9523809523809521E-3</v>
      </c>
      <c r="F1009" s="26">
        <v>5.9523809523809521E-3</v>
      </c>
      <c r="G1009" s="27">
        <v>235</v>
      </c>
      <c r="H1009" s="26">
        <v>97</v>
      </c>
      <c r="I1009" s="27">
        <v>2</v>
      </c>
      <c r="J1009" s="26">
        <v>2</v>
      </c>
      <c r="K1009" s="39">
        <v>336</v>
      </c>
      <c r="L1009" s="26" t="s">
        <v>10</v>
      </c>
      <c r="M1009" s="87"/>
      <c r="N1009" s="28">
        <v>0.729511618614197</v>
      </c>
    </row>
    <row r="1010" spans="1:14" x14ac:dyDescent="0.35">
      <c r="A1010" s="88" t="s">
        <v>525</v>
      </c>
      <c r="B1010" s="8" t="s">
        <v>29</v>
      </c>
      <c r="C1010" s="9">
        <v>0.5780346820809249</v>
      </c>
      <c r="D1010" s="8">
        <v>0.34874759152215801</v>
      </c>
      <c r="E1010" s="9">
        <v>7.7071290944123313E-3</v>
      </c>
      <c r="F1010" s="8">
        <v>6.5510597302504817E-2</v>
      </c>
      <c r="G1010" s="9">
        <v>300</v>
      </c>
      <c r="H1010" s="8">
        <v>181</v>
      </c>
      <c r="I1010" s="9">
        <v>4</v>
      </c>
      <c r="J1010" s="8">
        <v>34</v>
      </c>
      <c r="K1010" s="34">
        <v>519</v>
      </c>
      <c r="L1010" s="8" t="s">
        <v>15</v>
      </c>
      <c r="M1010" s="82">
        <v>-0.90050643682479903</v>
      </c>
      <c r="N1010" s="10">
        <v>0.74962431192398105</v>
      </c>
    </row>
    <row r="1011" spans="1:14" x14ac:dyDescent="0.35">
      <c r="A1011" s="89"/>
      <c r="B1011" s="11" t="s">
        <v>25</v>
      </c>
      <c r="C1011" s="12">
        <v>0.7192982456140351</v>
      </c>
      <c r="D1011" s="11">
        <v>0.24853801169590639</v>
      </c>
      <c r="E1011" s="12">
        <v>2.923976608187134E-2</v>
      </c>
      <c r="F1011" s="11">
        <v>2.9239766081871339E-3</v>
      </c>
      <c r="G1011" s="12">
        <v>246</v>
      </c>
      <c r="H1011" s="11">
        <v>85</v>
      </c>
      <c r="I1011" s="12">
        <v>10</v>
      </c>
      <c r="J1011" s="11">
        <v>1</v>
      </c>
      <c r="K1011" s="35">
        <v>342</v>
      </c>
      <c r="L1011" s="11" t="s">
        <v>15</v>
      </c>
      <c r="M1011" s="83"/>
      <c r="N1011" s="13">
        <v>0.84282875061035201</v>
      </c>
    </row>
    <row r="1012" spans="1:14" x14ac:dyDescent="0.35">
      <c r="A1012" s="89"/>
      <c r="B1012" s="11" t="s">
        <v>63</v>
      </c>
      <c r="C1012" s="12">
        <v>0.77966101694915257</v>
      </c>
      <c r="D1012" s="11">
        <v>0.17796610169491531</v>
      </c>
      <c r="E1012" s="12">
        <v>2.966101694915254E-2</v>
      </c>
      <c r="F1012" s="11">
        <v>1.271186440677966E-2</v>
      </c>
      <c r="G1012" s="12">
        <v>184</v>
      </c>
      <c r="H1012" s="11">
        <v>42</v>
      </c>
      <c r="I1012" s="12">
        <v>7</v>
      </c>
      <c r="J1012" s="11">
        <v>3</v>
      </c>
      <c r="K1012" s="35">
        <v>236</v>
      </c>
      <c r="L1012" s="11" t="s">
        <v>15</v>
      </c>
      <c r="M1012" s="83"/>
      <c r="N1012" s="13">
        <v>0.58694893121719405</v>
      </c>
    </row>
    <row r="1013" spans="1:14" x14ac:dyDescent="0.35">
      <c r="A1013" s="89"/>
      <c r="B1013" s="11" t="s">
        <v>380</v>
      </c>
      <c r="C1013" s="12">
        <v>0.8</v>
      </c>
      <c r="D1013" s="11">
        <v>0.17721518987341769</v>
      </c>
      <c r="E1013" s="12">
        <v>1.0126582278481009E-2</v>
      </c>
      <c r="F1013" s="11">
        <v>1.2658227848101271E-2</v>
      </c>
      <c r="G1013" s="12">
        <v>316</v>
      </c>
      <c r="H1013" s="11">
        <v>70</v>
      </c>
      <c r="I1013" s="12">
        <v>4</v>
      </c>
      <c r="J1013" s="11">
        <v>5</v>
      </c>
      <c r="K1013" s="35">
        <v>395</v>
      </c>
      <c r="L1013" s="11" t="s">
        <v>15</v>
      </c>
      <c r="M1013" s="83"/>
      <c r="N1013" s="13">
        <v>0.81048583984375</v>
      </c>
    </row>
    <row r="1014" spans="1:14" x14ac:dyDescent="0.35">
      <c r="A1014" s="89"/>
      <c r="B1014" s="11" t="s">
        <v>11</v>
      </c>
      <c r="C1014" s="12">
        <v>0.84479717813051147</v>
      </c>
      <c r="D1014" s="11">
        <v>0.14285714285714279</v>
      </c>
      <c r="E1014" s="12">
        <v>3.5273368606701938E-3</v>
      </c>
      <c r="F1014" s="11">
        <v>8.8183421516754845E-3</v>
      </c>
      <c r="G1014" s="12">
        <v>479</v>
      </c>
      <c r="H1014" s="11">
        <v>81</v>
      </c>
      <c r="I1014" s="12">
        <v>2</v>
      </c>
      <c r="J1014" s="11">
        <v>5</v>
      </c>
      <c r="K1014" s="35">
        <v>567</v>
      </c>
      <c r="L1014" s="11" t="s">
        <v>15</v>
      </c>
      <c r="M1014" s="83"/>
      <c r="N1014" s="13">
        <v>0.80152028799056996</v>
      </c>
    </row>
    <row r="1015" spans="1:14" x14ac:dyDescent="0.35">
      <c r="A1015" s="89"/>
      <c r="B1015" s="11" t="s">
        <v>21</v>
      </c>
      <c r="C1015" s="12">
        <v>0.45065789473684209</v>
      </c>
      <c r="D1015" s="11">
        <v>0.52467105263157898</v>
      </c>
      <c r="E1015" s="12">
        <v>1.3157894736842099E-2</v>
      </c>
      <c r="F1015" s="11">
        <v>1.151315789473684E-2</v>
      </c>
      <c r="G1015" s="12">
        <v>274</v>
      </c>
      <c r="H1015" s="11">
        <v>319</v>
      </c>
      <c r="I1015" s="12">
        <v>8</v>
      </c>
      <c r="J1015" s="11">
        <v>7</v>
      </c>
      <c r="K1015" s="35">
        <v>608</v>
      </c>
      <c r="L1015" s="11" t="s">
        <v>15</v>
      </c>
      <c r="M1015" s="83"/>
      <c r="N1015" s="13">
        <v>0.87436830997466997</v>
      </c>
    </row>
    <row r="1016" spans="1:14" ht="16" thickBot="1" x14ac:dyDescent="0.4">
      <c r="A1016" s="90"/>
      <c r="B1016" s="14" t="s">
        <v>381</v>
      </c>
      <c r="C1016" s="15">
        <v>0.7589285714285714</v>
      </c>
      <c r="D1016" s="14">
        <v>0.21726190476190479</v>
      </c>
      <c r="E1016" s="15">
        <v>2.0833333333333329E-2</v>
      </c>
      <c r="F1016" s="14">
        <v>2.976190476190476E-3</v>
      </c>
      <c r="G1016" s="15">
        <v>255</v>
      </c>
      <c r="H1016" s="14">
        <v>73</v>
      </c>
      <c r="I1016" s="15">
        <v>7</v>
      </c>
      <c r="J1016" s="14">
        <v>1</v>
      </c>
      <c r="K1016" s="36">
        <v>336</v>
      </c>
      <c r="L1016" s="14" t="s">
        <v>15</v>
      </c>
      <c r="M1016" s="84"/>
      <c r="N1016" s="16">
        <v>0.80295813083648704</v>
      </c>
    </row>
    <row r="1017" spans="1:14" x14ac:dyDescent="0.35">
      <c r="A1017" s="91" t="s">
        <v>526</v>
      </c>
      <c r="B1017" s="17" t="s">
        <v>29</v>
      </c>
      <c r="C1017" s="18">
        <v>0.53371868978805392</v>
      </c>
      <c r="D1017" s="17">
        <v>0.42003853564547211</v>
      </c>
      <c r="E1017" s="18">
        <v>2.6974951830443159E-2</v>
      </c>
      <c r="F1017" s="17">
        <v>1.926782273603083E-2</v>
      </c>
      <c r="G1017" s="18">
        <v>277</v>
      </c>
      <c r="H1017" s="17">
        <v>218</v>
      </c>
      <c r="I1017" s="18">
        <v>14</v>
      </c>
      <c r="J1017" s="17">
        <v>10</v>
      </c>
      <c r="K1017" s="37">
        <v>519</v>
      </c>
      <c r="L1017" s="17" t="s">
        <v>15</v>
      </c>
      <c r="M1017" s="85">
        <v>-0.83432227373123202</v>
      </c>
      <c r="N1017" s="19">
        <v>0.60661959648132302</v>
      </c>
    </row>
    <row r="1018" spans="1:14" x14ac:dyDescent="0.35">
      <c r="A1018" s="92"/>
      <c r="B1018" s="20" t="s">
        <v>25</v>
      </c>
      <c r="C1018" s="21">
        <v>0.70175438596491224</v>
      </c>
      <c r="D1018" s="20">
        <v>0.19883040935672511</v>
      </c>
      <c r="E1018" s="21">
        <v>3.8011695906432753E-2</v>
      </c>
      <c r="F1018" s="20">
        <v>6.1403508771929821E-2</v>
      </c>
      <c r="G1018" s="21">
        <v>240</v>
      </c>
      <c r="H1018" s="20">
        <v>68</v>
      </c>
      <c r="I1018" s="21">
        <v>13</v>
      </c>
      <c r="J1018" s="20">
        <v>21</v>
      </c>
      <c r="K1018" s="38">
        <v>342</v>
      </c>
      <c r="L1018" s="20" t="s">
        <v>15</v>
      </c>
      <c r="M1018" s="86"/>
      <c r="N1018" s="22">
        <v>0.86172699928283703</v>
      </c>
    </row>
    <row r="1019" spans="1:14" x14ac:dyDescent="0.35">
      <c r="A1019" s="92"/>
      <c r="B1019" s="20" t="s">
        <v>63</v>
      </c>
      <c r="C1019" s="21">
        <v>0.69915254237288138</v>
      </c>
      <c r="D1019" s="20">
        <v>0.2076271186440678</v>
      </c>
      <c r="E1019" s="21">
        <v>8.4745762711864403E-2</v>
      </c>
      <c r="F1019" s="20">
        <v>8.4745762711864406E-3</v>
      </c>
      <c r="G1019" s="21">
        <v>165</v>
      </c>
      <c r="H1019" s="20">
        <v>49</v>
      </c>
      <c r="I1019" s="21">
        <v>20</v>
      </c>
      <c r="J1019" s="20">
        <v>2</v>
      </c>
      <c r="K1019" s="38">
        <v>236</v>
      </c>
      <c r="L1019" s="20" t="s">
        <v>15</v>
      </c>
      <c r="M1019" s="86"/>
      <c r="N1019" s="22">
        <v>0.44641363620758101</v>
      </c>
    </row>
    <row r="1020" spans="1:14" x14ac:dyDescent="0.35">
      <c r="A1020" s="92"/>
      <c r="B1020" s="20" t="s">
        <v>380</v>
      </c>
      <c r="C1020" s="21">
        <v>0.79240506329113924</v>
      </c>
      <c r="D1020" s="20">
        <v>0.16455696202531639</v>
      </c>
      <c r="E1020" s="21">
        <v>3.037974683544304E-2</v>
      </c>
      <c r="F1020" s="20">
        <v>1.2658227848101271E-2</v>
      </c>
      <c r="G1020" s="21">
        <v>313</v>
      </c>
      <c r="H1020" s="20">
        <v>65</v>
      </c>
      <c r="I1020" s="21">
        <v>12</v>
      </c>
      <c r="J1020" s="20">
        <v>5</v>
      </c>
      <c r="K1020" s="38">
        <v>395</v>
      </c>
      <c r="L1020" s="20" t="s">
        <v>15</v>
      </c>
      <c r="M1020" s="86"/>
      <c r="N1020" s="22">
        <v>0.71034276485443104</v>
      </c>
    </row>
    <row r="1021" spans="1:14" x14ac:dyDescent="0.35">
      <c r="A1021" s="92"/>
      <c r="B1021" s="20" t="s">
        <v>11</v>
      </c>
      <c r="C1021" s="21">
        <v>0.83774250440917108</v>
      </c>
      <c r="D1021" s="20">
        <v>0.11816578483245151</v>
      </c>
      <c r="E1021" s="21">
        <v>1.9400352733686069E-2</v>
      </c>
      <c r="F1021" s="20">
        <v>2.469135802469136E-2</v>
      </c>
      <c r="G1021" s="21">
        <v>475</v>
      </c>
      <c r="H1021" s="20">
        <v>67</v>
      </c>
      <c r="I1021" s="21">
        <v>11</v>
      </c>
      <c r="J1021" s="20">
        <v>14</v>
      </c>
      <c r="K1021" s="38">
        <v>567</v>
      </c>
      <c r="L1021" s="20" t="s">
        <v>15</v>
      </c>
      <c r="M1021" s="86"/>
      <c r="N1021" s="22">
        <v>0.900634765625</v>
      </c>
    </row>
    <row r="1022" spans="1:14" x14ac:dyDescent="0.35">
      <c r="A1022" s="92"/>
      <c r="B1022" s="20" t="s">
        <v>21</v>
      </c>
      <c r="C1022" s="21">
        <v>0.39802631578947367</v>
      </c>
      <c r="D1022" s="20">
        <v>0.40953947368421051</v>
      </c>
      <c r="E1022" s="21">
        <v>0.1200657894736842</v>
      </c>
      <c r="F1022" s="20">
        <v>7.2368421052631582E-2</v>
      </c>
      <c r="G1022" s="21">
        <v>242</v>
      </c>
      <c r="H1022" s="20">
        <v>249</v>
      </c>
      <c r="I1022" s="21">
        <v>73</v>
      </c>
      <c r="J1022" s="20">
        <v>44</v>
      </c>
      <c r="K1022" s="38">
        <v>608</v>
      </c>
      <c r="L1022" s="20" t="s">
        <v>15</v>
      </c>
      <c r="M1022" s="86"/>
      <c r="N1022" s="22">
        <v>0.80483311414718595</v>
      </c>
    </row>
    <row r="1023" spans="1:14" ht="16" thickBot="1" x14ac:dyDescent="0.4">
      <c r="A1023" s="93"/>
      <c r="B1023" s="26" t="s">
        <v>381</v>
      </c>
      <c r="C1023" s="27">
        <v>0.70833333333333337</v>
      </c>
      <c r="D1023" s="26">
        <v>0.20833333333333329</v>
      </c>
      <c r="E1023" s="27">
        <v>7.7380952380952384E-2</v>
      </c>
      <c r="F1023" s="26">
        <v>5.9523809523809521E-3</v>
      </c>
      <c r="G1023" s="27">
        <v>238</v>
      </c>
      <c r="H1023" s="26">
        <v>70</v>
      </c>
      <c r="I1023" s="27">
        <v>26</v>
      </c>
      <c r="J1023" s="26">
        <v>2</v>
      </c>
      <c r="K1023" s="39">
        <v>336</v>
      </c>
      <c r="L1023" s="26" t="s">
        <v>15</v>
      </c>
      <c r="M1023" s="87"/>
      <c r="N1023" s="28">
        <v>0.86665672063827504</v>
      </c>
    </row>
    <row r="1024" spans="1:14" x14ac:dyDescent="0.35">
      <c r="A1024" s="88" t="s">
        <v>527</v>
      </c>
      <c r="B1024" s="8" t="s">
        <v>29</v>
      </c>
      <c r="C1024" s="9">
        <v>0.47013487475915222</v>
      </c>
      <c r="D1024" s="8">
        <v>0.4296724470134875</v>
      </c>
      <c r="E1024" s="9">
        <v>2.8901734104046239E-2</v>
      </c>
      <c r="F1024" s="8">
        <v>7.1290944123314062E-2</v>
      </c>
      <c r="G1024" s="9">
        <v>244</v>
      </c>
      <c r="H1024" s="8">
        <v>223</v>
      </c>
      <c r="I1024" s="9">
        <v>15</v>
      </c>
      <c r="J1024" s="8">
        <v>37</v>
      </c>
      <c r="K1024" s="34">
        <v>519</v>
      </c>
      <c r="L1024" s="8" t="s">
        <v>44</v>
      </c>
      <c r="M1024" s="82">
        <v>-0.62308788299560502</v>
      </c>
      <c r="N1024" s="10">
        <v>0.471789389848709</v>
      </c>
    </row>
    <row r="1025" spans="1:14" x14ac:dyDescent="0.35">
      <c r="A1025" s="89"/>
      <c r="B1025" s="11" t="s">
        <v>25</v>
      </c>
      <c r="C1025" s="12">
        <v>0.53508771929824561</v>
      </c>
      <c r="D1025" s="11">
        <v>0.33333333333333331</v>
      </c>
      <c r="E1025" s="12">
        <v>0.1228070175438596</v>
      </c>
      <c r="F1025" s="11">
        <v>8.771929824561403E-3</v>
      </c>
      <c r="G1025" s="12">
        <v>183</v>
      </c>
      <c r="H1025" s="11">
        <v>114</v>
      </c>
      <c r="I1025" s="12">
        <v>42</v>
      </c>
      <c r="J1025" s="11">
        <v>3</v>
      </c>
      <c r="K1025" s="35">
        <v>342</v>
      </c>
      <c r="L1025" s="11" t="s">
        <v>44</v>
      </c>
      <c r="M1025" s="83"/>
      <c r="N1025" s="13">
        <v>0.58811151981353804</v>
      </c>
    </row>
    <row r="1026" spans="1:14" x14ac:dyDescent="0.35">
      <c r="A1026" s="89"/>
      <c r="B1026" s="11" t="s">
        <v>63</v>
      </c>
      <c r="C1026" s="12">
        <v>0.3559322033898305</v>
      </c>
      <c r="D1026" s="11">
        <v>0.23305084745762711</v>
      </c>
      <c r="E1026" s="12">
        <v>0.3940677966101695</v>
      </c>
      <c r="F1026" s="11">
        <v>1.6949152542372881E-2</v>
      </c>
      <c r="G1026" s="12">
        <v>84</v>
      </c>
      <c r="H1026" s="11">
        <v>55</v>
      </c>
      <c r="I1026" s="12">
        <v>93</v>
      </c>
      <c r="J1026" s="11">
        <v>4</v>
      </c>
      <c r="K1026" s="35">
        <v>236</v>
      </c>
      <c r="L1026" s="11" t="s">
        <v>44</v>
      </c>
      <c r="M1026" s="83"/>
      <c r="N1026" s="13">
        <v>-4.1737709194421803E-2</v>
      </c>
    </row>
    <row r="1027" spans="1:14" x14ac:dyDescent="0.35">
      <c r="A1027" s="89"/>
      <c r="B1027" s="11" t="s">
        <v>380</v>
      </c>
      <c r="C1027" s="12">
        <v>0.67594936708860764</v>
      </c>
      <c r="D1027" s="11">
        <v>0.23797468354430379</v>
      </c>
      <c r="E1027" s="12">
        <v>8.1012658227848103E-2</v>
      </c>
      <c r="F1027" s="11">
        <v>5.0632911392405064E-3</v>
      </c>
      <c r="G1027" s="12">
        <v>267</v>
      </c>
      <c r="H1027" s="11">
        <v>94</v>
      </c>
      <c r="I1027" s="12">
        <v>32</v>
      </c>
      <c r="J1027" s="11">
        <v>2</v>
      </c>
      <c r="K1027" s="35">
        <v>395</v>
      </c>
      <c r="L1027" s="11" t="s">
        <v>44</v>
      </c>
      <c r="M1027" s="83"/>
      <c r="N1027" s="13">
        <v>0.49344864487647999</v>
      </c>
    </row>
    <row r="1028" spans="1:14" x14ac:dyDescent="0.35">
      <c r="A1028" s="89"/>
      <c r="B1028" s="11" t="s">
        <v>11</v>
      </c>
      <c r="C1028" s="12">
        <v>0.80952380952380953</v>
      </c>
      <c r="D1028" s="11">
        <v>0.14814814814814811</v>
      </c>
      <c r="E1028" s="12">
        <v>3.3509700176366841E-2</v>
      </c>
      <c r="F1028" s="11">
        <v>8.8183421516754845E-3</v>
      </c>
      <c r="G1028" s="12">
        <v>459</v>
      </c>
      <c r="H1028" s="11">
        <v>84</v>
      </c>
      <c r="I1028" s="12">
        <v>19</v>
      </c>
      <c r="J1028" s="11">
        <v>5</v>
      </c>
      <c r="K1028" s="35">
        <v>567</v>
      </c>
      <c r="L1028" s="11" t="s">
        <v>44</v>
      </c>
      <c r="M1028" s="83"/>
      <c r="N1028" s="13">
        <v>0.93709981441497803</v>
      </c>
    </row>
    <row r="1029" spans="1:14" x14ac:dyDescent="0.35">
      <c r="A1029" s="89"/>
      <c r="B1029" s="11" t="s">
        <v>21</v>
      </c>
      <c r="C1029" s="12">
        <v>0.33552631578947367</v>
      </c>
      <c r="D1029" s="11">
        <v>0.57401315789473684</v>
      </c>
      <c r="E1029" s="12">
        <v>6.0855263157894739E-2</v>
      </c>
      <c r="F1029" s="11">
        <v>2.9605263157894739E-2</v>
      </c>
      <c r="G1029" s="12">
        <v>204</v>
      </c>
      <c r="H1029" s="11">
        <v>349</v>
      </c>
      <c r="I1029" s="12">
        <v>37</v>
      </c>
      <c r="J1029" s="11">
        <v>18</v>
      </c>
      <c r="K1029" s="35">
        <v>608</v>
      </c>
      <c r="L1029" s="11" t="s">
        <v>44</v>
      </c>
      <c r="M1029" s="83"/>
      <c r="N1029" s="13">
        <v>0.68151545524597201</v>
      </c>
    </row>
    <row r="1030" spans="1:14" ht="16" thickBot="1" x14ac:dyDescent="0.4">
      <c r="A1030" s="90"/>
      <c r="B1030" s="14" t="s">
        <v>381</v>
      </c>
      <c r="C1030" s="15">
        <v>0.55654761904761907</v>
      </c>
      <c r="D1030" s="14">
        <v>0.25297619047619052</v>
      </c>
      <c r="E1030" s="15">
        <v>0.1785714285714286</v>
      </c>
      <c r="F1030" s="14">
        <v>1.1904761904761901E-2</v>
      </c>
      <c r="G1030" s="15">
        <v>187</v>
      </c>
      <c r="H1030" s="14">
        <v>85</v>
      </c>
      <c r="I1030" s="15">
        <v>60</v>
      </c>
      <c r="J1030" s="14">
        <v>4</v>
      </c>
      <c r="K1030" s="36">
        <v>336</v>
      </c>
      <c r="L1030" s="14" t="s">
        <v>44</v>
      </c>
      <c r="M1030" s="84"/>
      <c r="N1030" s="16">
        <v>0.59624433517456099</v>
      </c>
    </row>
    <row r="1031" spans="1:14" x14ac:dyDescent="0.35">
      <c r="A1031" s="91" t="s">
        <v>528</v>
      </c>
      <c r="B1031" s="17" t="s">
        <v>29</v>
      </c>
      <c r="C1031" s="18">
        <v>0.25818882466281312</v>
      </c>
      <c r="D1031" s="17">
        <v>0.46050096339113678</v>
      </c>
      <c r="E1031" s="18">
        <v>0.2119460500963391</v>
      </c>
      <c r="F1031" s="17">
        <v>6.9364161849710976E-2</v>
      </c>
      <c r="G1031" s="18">
        <v>134</v>
      </c>
      <c r="H1031" s="17">
        <v>239</v>
      </c>
      <c r="I1031" s="18">
        <v>110</v>
      </c>
      <c r="J1031" s="17">
        <v>36</v>
      </c>
      <c r="K1031" s="37">
        <v>519</v>
      </c>
      <c r="L1031" s="17" t="s">
        <v>36</v>
      </c>
      <c r="M1031" s="85">
        <v>0.83129984140396096</v>
      </c>
      <c r="N1031" s="19">
        <v>-0.96619135141372703</v>
      </c>
    </row>
    <row r="1032" spans="1:14" x14ac:dyDescent="0.35">
      <c r="A1032" s="92"/>
      <c r="B1032" s="20" t="s">
        <v>25</v>
      </c>
      <c r="C1032" s="21">
        <v>0.2192982456140351</v>
      </c>
      <c r="D1032" s="20">
        <v>0.47076023391812871</v>
      </c>
      <c r="E1032" s="21">
        <v>0.2807017543859649</v>
      </c>
      <c r="F1032" s="20">
        <v>2.923976608187134E-2</v>
      </c>
      <c r="G1032" s="21">
        <v>75</v>
      </c>
      <c r="H1032" s="20">
        <v>161</v>
      </c>
      <c r="I1032" s="21">
        <v>96</v>
      </c>
      <c r="J1032" s="20">
        <v>10</v>
      </c>
      <c r="K1032" s="38">
        <v>342</v>
      </c>
      <c r="L1032" s="20" t="s">
        <v>36</v>
      </c>
      <c r="M1032" s="86"/>
      <c r="N1032" s="22">
        <v>-0.92152130603790305</v>
      </c>
    </row>
    <row r="1033" spans="1:14" x14ac:dyDescent="0.35">
      <c r="A1033" s="92"/>
      <c r="B1033" s="20" t="s">
        <v>63</v>
      </c>
      <c r="C1033" s="21">
        <v>0.21186440677966101</v>
      </c>
      <c r="D1033" s="20">
        <v>0.57627118644067798</v>
      </c>
      <c r="E1033" s="21">
        <v>0.1864406779661017</v>
      </c>
      <c r="F1033" s="20">
        <v>2.542372881355932E-2</v>
      </c>
      <c r="G1033" s="21">
        <v>50</v>
      </c>
      <c r="H1033" s="20">
        <v>136</v>
      </c>
      <c r="I1033" s="21">
        <v>44</v>
      </c>
      <c r="J1033" s="20">
        <v>6</v>
      </c>
      <c r="K1033" s="38">
        <v>236</v>
      </c>
      <c r="L1033" s="20" t="s">
        <v>36</v>
      </c>
      <c r="M1033" s="86"/>
      <c r="N1033" s="22">
        <v>-0.85036736726760898</v>
      </c>
    </row>
    <row r="1034" spans="1:14" x14ac:dyDescent="0.35">
      <c r="A1034" s="92"/>
      <c r="B1034" s="20" t="s">
        <v>380</v>
      </c>
      <c r="C1034" s="21">
        <v>0.2227848101265823</v>
      </c>
      <c r="D1034" s="20">
        <v>0.46582278481012662</v>
      </c>
      <c r="E1034" s="21">
        <v>0.25569620253164549</v>
      </c>
      <c r="F1034" s="20">
        <v>5.5696202531645568E-2</v>
      </c>
      <c r="G1034" s="21">
        <v>88</v>
      </c>
      <c r="H1034" s="20">
        <v>184</v>
      </c>
      <c r="I1034" s="21">
        <v>101</v>
      </c>
      <c r="J1034" s="20">
        <v>22</v>
      </c>
      <c r="K1034" s="38">
        <v>395</v>
      </c>
      <c r="L1034" s="20" t="s">
        <v>36</v>
      </c>
      <c r="M1034" s="86"/>
      <c r="N1034" s="22">
        <v>-0.924002885818481</v>
      </c>
    </row>
    <row r="1035" spans="1:14" x14ac:dyDescent="0.35">
      <c r="A1035" s="92"/>
      <c r="B1035" s="20" t="s">
        <v>11</v>
      </c>
      <c r="C1035" s="21">
        <v>0.27336860670194002</v>
      </c>
      <c r="D1035" s="20">
        <v>0.46031746031746029</v>
      </c>
      <c r="E1035" s="21">
        <v>0.23809523809523811</v>
      </c>
      <c r="F1035" s="20">
        <v>2.821869488536155E-2</v>
      </c>
      <c r="G1035" s="21">
        <v>155</v>
      </c>
      <c r="H1035" s="20">
        <v>261</v>
      </c>
      <c r="I1035" s="21">
        <v>135</v>
      </c>
      <c r="J1035" s="20">
        <v>16</v>
      </c>
      <c r="K1035" s="38">
        <v>567</v>
      </c>
      <c r="L1035" s="20" t="s">
        <v>36</v>
      </c>
      <c r="M1035" s="86"/>
      <c r="N1035" s="22">
        <v>-0.36091691255569502</v>
      </c>
    </row>
    <row r="1036" spans="1:14" x14ac:dyDescent="0.35">
      <c r="A1036" s="92"/>
      <c r="B1036" s="20" t="s">
        <v>21</v>
      </c>
      <c r="C1036" s="21">
        <v>0.51644736842105265</v>
      </c>
      <c r="D1036" s="20">
        <v>0.30427631578947367</v>
      </c>
      <c r="E1036" s="21">
        <v>0.1414473684210526</v>
      </c>
      <c r="F1036" s="20">
        <v>3.7828947368421052E-2</v>
      </c>
      <c r="G1036" s="21">
        <v>314</v>
      </c>
      <c r="H1036" s="20">
        <v>185</v>
      </c>
      <c r="I1036" s="21">
        <v>86</v>
      </c>
      <c r="J1036" s="20">
        <v>23</v>
      </c>
      <c r="K1036" s="38">
        <v>608</v>
      </c>
      <c r="L1036" s="20" t="s">
        <v>36</v>
      </c>
      <c r="M1036" s="86"/>
      <c r="N1036" s="22">
        <v>-0.88570439815521196</v>
      </c>
    </row>
    <row r="1037" spans="1:14" ht="16" thickBot="1" x14ac:dyDescent="0.4">
      <c r="A1037" s="93"/>
      <c r="B1037" s="26" t="s">
        <v>381</v>
      </c>
      <c r="C1037" s="27">
        <v>0.27380952380952378</v>
      </c>
      <c r="D1037" s="26">
        <v>0.45833333333333331</v>
      </c>
      <c r="E1037" s="27">
        <v>0.26190476190476192</v>
      </c>
      <c r="F1037" s="26">
        <v>5.9523809523809521E-3</v>
      </c>
      <c r="G1037" s="27">
        <v>92</v>
      </c>
      <c r="H1037" s="26">
        <v>154</v>
      </c>
      <c r="I1037" s="27">
        <v>88</v>
      </c>
      <c r="J1037" s="26">
        <v>2</v>
      </c>
      <c r="K1037" s="39">
        <v>336</v>
      </c>
      <c r="L1037" s="26" t="s">
        <v>36</v>
      </c>
      <c r="M1037" s="87"/>
      <c r="N1037" s="28">
        <v>-0.65486508607864402</v>
      </c>
    </row>
    <row r="1038" spans="1:14" x14ac:dyDescent="0.35">
      <c r="A1038" s="88" t="s">
        <v>529</v>
      </c>
      <c r="B1038" s="8" t="s">
        <v>29</v>
      </c>
      <c r="C1038" s="9">
        <v>0.46242774566473988</v>
      </c>
      <c r="D1038" s="8">
        <v>0.46435452793834298</v>
      </c>
      <c r="E1038" s="9">
        <v>3.6608863198458567E-2</v>
      </c>
      <c r="F1038" s="8">
        <v>3.6608863198458567E-2</v>
      </c>
      <c r="G1038" s="9">
        <v>240</v>
      </c>
      <c r="H1038" s="8">
        <v>241</v>
      </c>
      <c r="I1038" s="9">
        <v>19</v>
      </c>
      <c r="J1038" s="8">
        <v>19</v>
      </c>
      <c r="K1038" s="34">
        <v>519</v>
      </c>
      <c r="L1038" s="8" t="s">
        <v>19</v>
      </c>
      <c r="M1038" s="82">
        <v>-0.51239550113678001</v>
      </c>
      <c r="N1038" s="10">
        <v>0.34355285763740501</v>
      </c>
    </row>
    <row r="1039" spans="1:14" x14ac:dyDescent="0.35">
      <c r="A1039" s="89"/>
      <c r="B1039" s="11" t="s">
        <v>25</v>
      </c>
      <c r="C1039" s="12">
        <v>0.41228070175438603</v>
      </c>
      <c r="D1039" s="11">
        <v>0.40058479532163738</v>
      </c>
      <c r="E1039" s="12">
        <v>7.3099415204678359E-2</v>
      </c>
      <c r="F1039" s="11">
        <v>0.1140350877192982</v>
      </c>
      <c r="G1039" s="12">
        <v>141</v>
      </c>
      <c r="H1039" s="11">
        <v>137</v>
      </c>
      <c r="I1039" s="12">
        <v>25</v>
      </c>
      <c r="J1039" s="11">
        <v>39</v>
      </c>
      <c r="K1039" s="35">
        <v>342</v>
      </c>
      <c r="L1039" s="11" t="s">
        <v>19</v>
      </c>
      <c r="M1039" s="83"/>
      <c r="N1039" s="13">
        <v>0.35237509012222301</v>
      </c>
    </row>
    <row r="1040" spans="1:14" x14ac:dyDescent="0.35">
      <c r="A1040" s="89"/>
      <c r="B1040" s="11" t="s">
        <v>63</v>
      </c>
      <c r="C1040" s="12">
        <v>0.44491525423728812</v>
      </c>
      <c r="D1040" s="11">
        <v>0.33050847457627119</v>
      </c>
      <c r="E1040" s="12">
        <v>0.19491525423728809</v>
      </c>
      <c r="F1040" s="11">
        <v>2.966101694915254E-2</v>
      </c>
      <c r="G1040" s="12">
        <v>105</v>
      </c>
      <c r="H1040" s="11">
        <v>78</v>
      </c>
      <c r="I1040" s="12">
        <v>46</v>
      </c>
      <c r="J1040" s="11">
        <v>7</v>
      </c>
      <c r="K1040" s="35">
        <v>236</v>
      </c>
      <c r="L1040" s="11" t="s">
        <v>19</v>
      </c>
      <c r="M1040" s="83"/>
      <c r="N1040" s="13">
        <v>-2.3813845589757E-2</v>
      </c>
    </row>
    <row r="1041" spans="1:14" x14ac:dyDescent="0.35">
      <c r="A1041" s="89"/>
      <c r="B1041" s="11" t="s">
        <v>380</v>
      </c>
      <c r="C1041" s="12">
        <v>0.63037974683544307</v>
      </c>
      <c r="D1041" s="11">
        <v>0.25822784810126581</v>
      </c>
      <c r="E1041" s="12">
        <v>9.3670886075949367E-2</v>
      </c>
      <c r="F1041" s="11">
        <v>1.7721518987341769E-2</v>
      </c>
      <c r="G1041" s="12">
        <v>249</v>
      </c>
      <c r="H1041" s="11">
        <v>102</v>
      </c>
      <c r="I1041" s="12">
        <v>37</v>
      </c>
      <c r="J1041" s="11">
        <v>7</v>
      </c>
      <c r="K1041" s="35">
        <v>395</v>
      </c>
      <c r="L1041" s="11" t="s">
        <v>19</v>
      </c>
      <c r="M1041" s="83"/>
      <c r="N1041" s="13">
        <v>0.40938758850097701</v>
      </c>
    </row>
    <row r="1042" spans="1:14" x14ac:dyDescent="0.35">
      <c r="A1042" s="89"/>
      <c r="B1042" s="11" t="s">
        <v>11</v>
      </c>
      <c r="C1042" s="12">
        <v>0.71957671957671954</v>
      </c>
      <c r="D1042" s="11">
        <v>0.16402116402116401</v>
      </c>
      <c r="E1042" s="12">
        <v>4.9382716049382713E-2</v>
      </c>
      <c r="F1042" s="11">
        <v>6.7019400352733682E-2</v>
      </c>
      <c r="G1042" s="12">
        <v>408</v>
      </c>
      <c r="H1042" s="11">
        <v>93</v>
      </c>
      <c r="I1042" s="12">
        <v>28</v>
      </c>
      <c r="J1042" s="11">
        <v>38</v>
      </c>
      <c r="K1042" s="35">
        <v>567</v>
      </c>
      <c r="L1042" s="11" t="s">
        <v>19</v>
      </c>
      <c r="M1042" s="83"/>
      <c r="N1042" s="13">
        <v>0.61537921428680398</v>
      </c>
    </row>
    <row r="1043" spans="1:14" x14ac:dyDescent="0.35">
      <c r="A1043" s="89"/>
      <c r="B1043" s="11" t="s">
        <v>21</v>
      </c>
      <c r="C1043" s="12">
        <v>0.32565789473684209</v>
      </c>
      <c r="D1043" s="11">
        <v>0.60855263157894735</v>
      </c>
      <c r="E1043" s="12">
        <v>3.7828947368421052E-2</v>
      </c>
      <c r="F1043" s="11">
        <v>2.796052631578947E-2</v>
      </c>
      <c r="G1043" s="12">
        <v>198</v>
      </c>
      <c r="H1043" s="11">
        <v>370</v>
      </c>
      <c r="I1043" s="12">
        <v>23</v>
      </c>
      <c r="J1043" s="11">
        <v>17</v>
      </c>
      <c r="K1043" s="35">
        <v>608</v>
      </c>
      <c r="L1043" s="11" t="s">
        <v>19</v>
      </c>
      <c r="M1043" s="83"/>
      <c r="N1043" s="13">
        <v>0.54453396797180198</v>
      </c>
    </row>
    <row r="1044" spans="1:14" ht="16" thickBot="1" x14ac:dyDescent="0.4">
      <c r="A1044" s="90"/>
      <c r="B1044" s="14" t="s">
        <v>381</v>
      </c>
      <c r="C1044" s="15">
        <v>0.58630952380952384</v>
      </c>
      <c r="D1044" s="14">
        <v>0.28273809523809518</v>
      </c>
      <c r="E1044" s="15">
        <v>9.5238095238095233E-2</v>
      </c>
      <c r="F1044" s="14">
        <v>3.5714285714285712E-2</v>
      </c>
      <c r="G1044" s="15">
        <v>197</v>
      </c>
      <c r="H1044" s="14">
        <v>95</v>
      </c>
      <c r="I1044" s="15">
        <v>32</v>
      </c>
      <c r="J1044" s="14">
        <v>12</v>
      </c>
      <c r="K1044" s="36">
        <v>336</v>
      </c>
      <c r="L1044" s="14" t="s">
        <v>19</v>
      </c>
      <c r="M1044" s="84"/>
      <c r="N1044" s="16">
        <v>0.55156439542770397</v>
      </c>
    </row>
    <row r="1045" spans="1:14" x14ac:dyDescent="0.35">
      <c r="A1045" s="91" t="s">
        <v>530</v>
      </c>
      <c r="B1045" s="17" t="s">
        <v>29</v>
      </c>
      <c r="C1045" s="18">
        <v>0.52986512524084783</v>
      </c>
      <c r="D1045" s="17">
        <v>0.44315992292870898</v>
      </c>
      <c r="E1045" s="18">
        <v>9.6339113680154135E-3</v>
      </c>
      <c r="F1045" s="17">
        <v>1.734104046242774E-2</v>
      </c>
      <c r="G1045" s="18">
        <v>275</v>
      </c>
      <c r="H1045" s="17">
        <v>230</v>
      </c>
      <c r="I1045" s="18">
        <v>5</v>
      </c>
      <c r="J1045" s="17">
        <v>9</v>
      </c>
      <c r="K1045" s="37">
        <v>519</v>
      </c>
      <c r="L1045" s="17" t="s">
        <v>28</v>
      </c>
      <c r="M1045" s="85">
        <v>-0.88001650571823098</v>
      </c>
      <c r="N1045" s="19">
        <v>0.60313642024993896</v>
      </c>
    </row>
    <row r="1046" spans="1:14" x14ac:dyDescent="0.35">
      <c r="A1046" s="92"/>
      <c r="B1046" s="20" t="s">
        <v>25</v>
      </c>
      <c r="C1046" s="21">
        <v>0.67543859649122806</v>
      </c>
      <c r="D1046" s="20">
        <v>0.28947368421052633</v>
      </c>
      <c r="E1046" s="21">
        <v>3.2163742690058478E-2</v>
      </c>
      <c r="F1046" s="20">
        <v>2.9239766081871339E-3</v>
      </c>
      <c r="G1046" s="21">
        <v>231</v>
      </c>
      <c r="H1046" s="20">
        <v>99</v>
      </c>
      <c r="I1046" s="21">
        <v>11</v>
      </c>
      <c r="J1046" s="20">
        <v>1</v>
      </c>
      <c r="K1046" s="38">
        <v>342</v>
      </c>
      <c r="L1046" s="20" t="s">
        <v>28</v>
      </c>
      <c r="M1046" s="86"/>
      <c r="N1046" s="22">
        <v>0.82241606712341297</v>
      </c>
    </row>
    <row r="1047" spans="1:14" x14ac:dyDescent="0.35">
      <c r="A1047" s="92"/>
      <c r="B1047" s="20" t="s">
        <v>63</v>
      </c>
      <c r="C1047" s="21">
        <v>0.75423728813559321</v>
      </c>
      <c r="D1047" s="20">
        <v>0.2076271186440678</v>
      </c>
      <c r="E1047" s="21">
        <v>3.3898305084745763E-2</v>
      </c>
      <c r="F1047" s="20">
        <v>4.2372881355932203E-3</v>
      </c>
      <c r="G1047" s="21">
        <v>178</v>
      </c>
      <c r="H1047" s="20">
        <v>49</v>
      </c>
      <c r="I1047" s="21">
        <v>8</v>
      </c>
      <c r="J1047" s="20">
        <v>1</v>
      </c>
      <c r="K1047" s="38">
        <v>236</v>
      </c>
      <c r="L1047" s="20" t="s">
        <v>28</v>
      </c>
      <c r="M1047" s="86"/>
      <c r="N1047" s="22">
        <v>0.65723973512649503</v>
      </c>
    </row>
    <row r="1048" spans="1:14" x14ac:dyDescent="0.35">
      <c r="A1048" s="92"/>
      <c r="B1048" s="20" t="s">
        <v>380</v>
      </c>
      <c r="C1048" s="21">
        <v>0.78734177215189871</v>
      </c>
      <c r="D1048" s="20">
        <v>0.16202531645569621</v>
      </c>
      <c r="E1048" s="21">
        <v>4.0506329113924051E-2</v>
      </c>
      <c r="F1048" s="20">
        <v>1.0126582278481009E-2</v>
      </c>
      <c r="G1048" s="21">
        <v>311</v>
      </c>
      <c r="H1048" s="20">
        <v>64</v>
      </c>
      <c r="I1048" s="21">
        <v>16</v>
      </c>
      <c r="J1048" s="20">
        <v>4</v>
      </c>
      <c r="K1048" s="38">
        <v>395</v>
      </c>
      <c r="L1048" s="20" t="s">
        <v>28</v>
      </c>
      <c r="M1048" s="86"/>
      <c r="N1048" s="22">
        <v>0.80878388881683305</v>
      </c>
    </row>
    <row r="1049" spans="1:14" x14ac:dyDescent="0.35">
      <c r="A1049" s="92"/>
      <c r="B1049" s="20" t="s">
        <v>11</v>
      </c>
      <c r="C1049" s="21">
        <v>0.82539682539682535</v>
      </c>
      <c r="D1049" s="20">
        <v>0.1534391534391534</v>
      </c>
      <c r="E1049" s="21">
        <v>1.410934744268078E-2</v>
      </c>
      <c r="F1049" s="20">
        <v>7.0546737213403876E-3</v>
      </c>
      <c r="G1049" s="21">
        <v>468</v>
      </c>
      <c r="H1049" s="20">
        <v>87</v>
      </c>
      <c r="I1049" s="21">
        <v>8</v>
      </c>
      <c r="J1049" s="20">
        <v>4</v>
      </c>
      <c r="K1049" s="38">
        <v>567</v>
      </c>
      <c r="L1049" s="20" t="s">
        <v>28</v>
      </c>
      <c r="M1049" s="86"/>
      <c r="N1049" s="22">
        <v>0.970816850662231</v>
      </c>
    </row>
    <row r="1050" spans="1:14" x14ac:dyDescent="0.35">
      <c r="A1050" s="92"/>
      <c r="B1050" s="20" t="s">
        <v>21</v>
      </c>
      <c r="C1050" s="21">
        <v>0.37006578947368418</v>
      </c>
      <c r="D1050" s="20">
        <v>0.5625</v>
      </c>
      <c r="E1050" s="21">
        <v>4.9342105263157902E-2</v>
      </c>
      <c r="F1050" s="20">
        <v>1.8092105263157899E-2</v>
      </c>
      <c r="G1050" s="21">
        <v>225</v>
      </c>
      <c r="H1050" s="20">
        <v>342</v>
      </c>
      <c r="I1050" s="21">
        <v>30</v>
      </c>
      <c r="J1050" s="20">
        <v>11</v>
      </c>
      <c r="K1050" s="38">
        <v>608</v>
      </c>
      <c r="L1050" s="20" t="s">
        <v>28</v>
      </c>
      <c r="M1050" s="86"/>
      <c r="N1050" s="22">
        <v>0.92571789026260398</v>
      </c>
    </row>
    <row r="1051" spans="1:14" ht="16" thickBot="1" x14ac:dyDescent="0.4">
      <c r="A1051" s="93"/>
      <c r="B1051" s="26" t="s">
        <v>381</v>
      </c>
      <c r="C1051" s="27">
        <v>0.72916666666666663</v>
      </c>
      <c r="D1051" s="26">
        <v>0.23214285714285721</v>
      </c>
      <c r="E1051" s="27">
        <v>3.5714285714285712E-2</v>
      </c>
      <c r="F1051" s="26">
        <v>2.976190476190476E-3</v>
      </c>
      <c r="G1051" s="27">
        <v>245</v>
      </c>
      <c r="H1051" s="26">
        <v>78</v>
      </c>
      <c r="I1051" s="27">
        <v>12</v>
      </c>
      <c r="J1051" s="26">
        <v>1</v>
      </c>
      <c r="K1051" s="39">
        <v>336</v>
      </c>
      <c r="L1051" s="26" t="s">
        <v>28</v>
      </c>
      <c r="M1051" s="87"/>
      <c r="N1051" s="28">
        <v>0.95678764581680298</v>
      </c>
    </row>
    <row r="1052" spans="1:14" x14ac:dyDescent="0.35">
      <c r="A1052" s="88" t="s">
        <v>531</v>
      </c>
      <c r="B1052" s="8" t="s">
        <v>29</v>
      </c>
      <c r="C1052" s="9">
        <v>0.53949903660886322</v>
      </c>
      <c r="D1052" s="8">
        <v>0.43159922928709049</v>
      </c>
      <c r="E1052" s="9">
        <v>1.926782273603083E-2</v>
      </c>
      <c r="F1052" s="8">
        <v>9.6339113680154135E-3</v>
      </c>
      <c r="G1052" s="9">
        <v>280</v>
      </c>
      <c r="H1052" s="8">
        <v>224</v>
      </c>
      <c r="I1052" s="9">
        <v>10</v>
      </c>
      <c r="J1052" s="8">
        <v>5</v>
      </c>
      <c r="K1052" s="34">
        <v>519</v>
      </c>
      <c r="L1052" s="8" t="s">
        <v>10</v>
      </c>
      <c r="M1052" s="82">
        <v>-0.70534306764602706</v>
      </c>
      <c r="N1052" s="10">
        <v>0.55402588844299305</v>
      </c>
    </row>
    <row r="1053" spans="1:14" x14ac:dyDescent="0.35">
      <c r="A1053" s="89"/>
      <c r="B1053" s="11" t="s">
        <v>25</v>
      </c>
      <c r="C1053" s="12">
        <v>0.54970760233918126</v>
      </c>
      <c r="D1053" s="11">
        <v>0.32163742690058478</v>
      </c>
      <c r="E1053" s="12">
        <v>9.0643274853801165E-2</v>
      </c>
      <c r="F1053" s="11">
        <v>3.8011695906432753E-2</v>
      </c>
      <c r="G1053" s="12">
        <v>188</v>
      </c>
      <c r="H1053" s="11">
        <v>110</v>
      </c>
      <c r="I1053" s="12">
        <v>31</v>
      </c>
      <c r="J1053" s="11">
        <v>13</v>
      </c>
      <c r="K1053" s="35">
        <v>342</v>
      </c>
      <c r="L1053" s="11" t="s">
        <v>10</v>
      </c>
      <c r="M1053" s="83"/>
      <c r="N1053" s="13">
        <v>0.554715216159821</v>
      </c>
    </row>
    <row r="1054" spans="1:14" x14ac:dyDescent="0.35">
      <c r="A1054" s="89"/>
      <c r="B1054" s="11" t="s">
        <v>63</v>
      </c>
      <c r="C1054" s="12">
        <v>0.55508474576271183</v>
      </c>
      <c r="D1054" s="11">
        <v>0.15677966101694921</v>
      </c>
      <c r="E1054" s="12">
        <v>0.28813559322033899</v>
      </c>
      <c r="F1054" s="11">
        <v>0</v>
      </c>
      <c r="G1054" s="12">
        <v>131</v>
      </c>
      <c r="H1054" s="11">
        <v>37</v>
      </c>
      <c r="I1054" s="12">
        <v>68</v>
      </c>
      <c r="J1054" s="11">
        <v>0</v>
      </c>
      <c r="K1054" s="35">
        <v>236</v>
      </c>
      <c r="L1054" s="11" t="s">
        <v>10</v>
      </c>
      <c r="M1054" s="83"/>
      <c r="N1054" s="13">
        <v>0.149269044399261</v>
      </c>
    </row>
    <row r="1055" spans="1:14" x14ac:dyDescent="0.35">
      <c r="A1055" s="89"/>
      <c r="B1055" s="11" t="s">
        <v>380</v>
      </c>
      <c r="C1055" s="12">
        <v>0.74177215189873413</v>
      </c>
      <c r="D1055" s="11">
        <v>0.1822784810126582</v>
      </c>
      <c r="E1055" s="12">
        <v>7.3417721518987344E-2</v>
      </c>
      <c r="F1055" s="11">
        <v>2.5316455696202532E-3</v>
      </c>
      <c r="G1055" s="12">
        <v>293</v>
      </c>
      <c r="H1055" s="11">
        <v>72</v>
      </c>
      <c r="I1055" s="12">
        <v>29</v>
      </c>
      <c r="J1055" s="11">
        <v>1</v>
      </c>
      <c r="K1055" s="35">
        <v>395</v>
      </c>
      <c r="L1055" s="11" t="s">
        <v>10</v>
      </c>
      <c r="M1055" s="83"/>
      <c r="N1055" s="13">
        <v>0.67692297697067305</v>
      </c>
    </row>
    <row r="1056" spans="1:14" x14ac:dyDescent="0.35">
      <c r="A1056" s="89"/>
      <c r="B1056" s="11" t="s">
        <v>11</v>
      </c>
      <c r="C1056" s="12">
        <v>0.82186948853615516</v>
      </c>
      <c r="D1056" s="11">
        <v>0.11816578483245151</v>
      </c>
      <c r="E1056" s="12">
        <v>4.2328042328042333E-2</v>
      </c>
      <c r="F1056" s="11">
        <v>1.7636684303350969E-2</v>
      </c>
      <c r="G1056" s="12">
        <v>466</v>
      </c>
      <c r="H1056" s="11">
        <v>67</v>
      </c>
      <c r="I1056" s="12">
        <v>24</v>
      </c>
      <c r="J1056" s="11">
        <v>10</v>
      </c>
      <c r="K1056" s="35">
        <v>567</v>
      </c>
      <c r="L1056" s="11" t="s">
        <v>10</v>
      </c>
      <c r="M1056" s="83"/>
      <c r="N1056" s="13">
        <v>0.79934704303741499</v>
      </c>
    </row>
    <row r="1057" spans="1:14" x14ac:dyDescent="0.35">
      <c r="A1057" s="89"/>
      <c r="B1057" s="11" t="s">
        <v>21</v>
      </c>
      <c r="C1057" s="12">
        <v>0.38486842105263158</v>
      </c>
      <c r="D1057" s="11">
        <v>0.57565789473684215</v>
      </c>
      <c r="E1057" s="12">
        <v>3.2894736842105261E-2</v>
      </c>
      <c r="F1057" s="11">
        <v>6.5789473684210523E-3</v>
      </c>
      <c r="G1057" s="12">
        <v>234</v>
      </c>
      <c r="H1057" s="11">
        <v>350</v>
      </c>
      <c r="I1057" s="12">
        <v>20</v>
      </c>
      <c r="J1057" s="11">
        <v>4</v>
      </c>
      <c r="K1057" s="35">
        <v>608</v>
      </c>
      <c r="L1057" s="11" t="s">
        <v>10</v>
      </c>
      <c r="M1057" s="83"/>
      <c r="N1057" s="13">
        <v>0.68155753612518299</v>
      </c>
    </row>
    <row r="1058" spans="1:14" ht="16" thickBot="1" x14ac:dyDescent="0.4">
      <c r="A1058" s="90"/>
      <c r="B1058" s="14" t="s">
        <v>381</v>
      </c>
      <c r="C1058" s="15">
        <v>0.56845238095238093</v>
      </c>
      <c r="D1058" s="14">
        <v>0.23511904761904759</v>
      </c>
      <c r="E1058" s="15">
        <v>0.15476190476190479</v>
      </c>
      <c r="F1058" s="14">
        <v>4.1666666666666657E-2</v>
      </c>
      <c r="G1058" s="15">
        <v>191</v>
      </c>
      <c r="H1058" s="14">
        <v>79</v>
      </c>
      <c r="I1058" s="15">
        <v>52</v>
      </c>
      <c r="J1058" s="14">
        <v>14</v>
      </c>
      <c r="K1058" s="36">
        <v>336</v>
      </c>
      <c r="L1058" s="14" t="s">
        <v>10</v>
      </c>
      <c r="M1058" s="84"/>
      <c r="N1058" s="16">
        <v>0.617231845855713</v>
      </c>
    </row>
    <row r="1059" spans="1:14" x14ac:dyDescent="0.35">
      <c r="A1059" s="91" t="s">
        <v>532</v>
      </c>
      <c r="B1059" s="17" t="s">
        <v>29</v>
      </c>
      <c r="C1059" s="18">
        <v>0.47784200385356462</v>
      </c>
      <c r="D1059" s="17">
        <v>0.45857418111753367</v>
      </c>
      <c r="E1059" s="18">
        <v>3.0828516377649329E-2</v>
      </c>
      <c r="F1059" s="17">
        <v>3.2755298651252408E-2</v>
      </c>
      <c r="G1059" s="18">
        <v>248</v>
      </c>
      <c r="H1059" s="17">
        <v>238</v>
      </c>
      <c r="I1059" s="18">
        <v>16</v>
      </c>
      <c r="J1059" s="17">
        <v>17</v>
      </c>
      <c r="K1059" s="37">
        <v>519</v>
      </c>
      <c r="L1059" s="17" t="s">
        <v>44</v>
      </c>
      <c r="M1059" s="85">
        <v>-0.54985058307647705</v>
      </c>
      <c r="N1059" s="19">
        <v>0.47222900390625</v>
      </c>
    </row>
    <row r="1060" spans="1:14" x14ac:dyDescent="0.35">
      <c r="A1060" s="92"/>
      <c r="B1060" s="20" t="s">
        <v>25</v>
      </c>
      <c r="C1060" s="21">
        <v>0.4853801169590643</v>
      </c>
      <c r="D1060" s="20">
        <v>0.42397660818713451</v>
      </c>
      <c r="E1060" s="21">
        <v>7.3099415204678359E-2</v>
      </c>
      <c r="F1060" s="20">
        <v>1.754385964912281E-2</v>
      </c>
      <c r="G1060" s="21">
        <v>166</v>
      </c>
      <c r="H1060" s="20">
        <v>145</v>
      </c>
      <c r="I1060" s="21">
        <v>25</v>
      </c>
      <c r="J1060" s="20">
        <v>6</v>
      </c>
      <c r="K1060" s="38">
        <v>342</v>
      </c>
      <c r="L1060" s="20" t="s">
        <v>44</v>
      </c>
      <c r="M1060" s="86"/>
      <c r="N1060" s="22">
        <v>0.47854843735694902</v>
      </c>
    </row>
    <row r="1061" spans="1:14" x14ac:dyDescent="0.35">
      <c r="A1061" s="92"/>
      <c r="B1061" s="20" t="s">
        <v>63</v>
      </c>
      <c r="C1061" s="21">
        <v>0.26271186440677968</v>
      </c>
      <c r="D1061" s="20">
        <v>0.55932203389830504</v>
      </c>
      <c r="E1061" s="21">
        <v>0.1652542372881356</v>
      </c>
      <c r="F1061" s="20">
        <v>1.271186440677966E-2</v>
      </c>
      <c r="G1061" s="21">
        <v>62</v>
      </c>
      <c r="H1061" s="20">
        <v>132</v>
      </c>
      <c r="I1061" s="21">
        <v>39</v>
      </c>
      <c r="J1061" s="20">
        <v>3</v>
      </c>
      <c r="K1061" s="38">
        <v>236</v>
      </c>
      <c r="L1061" s="20" t="s">
        <v>44</v>
      </c>
      <c r="M1061" s="86"/>
      <c r="N1061" s="22">
        <v>-0.16282907128334001</v>
      </c>
    </row>
    <row r="1062" spans="1:14" x14ac:dyDescent="0.35">
      <c r="A1062" s="92"/>
      <c r="B1062" s="20" t="s">
        <v>380</v>
      </c>
      <c r="C1062" s="21">
        <v>0.65569620253164562</v>
      </c>
      <c r="D1062" s="20">
        <v>0.24303797468354429</v>
      </c>
      <c r="E1062" s="21">
        <v>9.3670886075949367E-2</v>
      </c>
      <c r="F1062" s="20">
        <v>7.5949367088607592E-3</v>
      </c>
      <c r="G1062" s="21">
        <v>259</v>
      </c>
      <c r="H1062" s="20">
        <v>96</v>
      </c>
      <c r="I1062" s="21">
        <v>37</v>
      </c>
      <c r="J1062" s="20">
        <v>3</v>
      </c>
      <c r="K1062" s="38">
        <v>395</v>
      </c>
      <c r="L1062" s="20" t="s">
        <v>44</v>
      </c>
      <c r="M1062" s="86"/>
      <c r="N1062" s="22">
        <v>0.466297417879105</v>
      </c>
    </row>
    <row r="1063" spans="1:14" x14ac:dyDescent="0.35">
      <c r="A1063" s="92"/>
      <c r="B1063" s="20" t="s">
        <v>11</v>
      </c>
      <c r="C1063" s="21">
        <v>0.6843033509700176</v>
      </c>
      <c r="D1063" s="20">
        <v>0.17460317460317459</v>
      </c>
      <c r="E1063" s="21">
        <v>0.1287477954144621</v>
      </c>
      <c r="F1063" s="20">
        <v>1.234567901234568E-2</v>
      </c>
      <c r="G1063" s="21">
        <v>388</v>
      </c>
      <c r="H1063" s="20">
        <v>99</v>
      </c>
      <c r="I1063" s="21">
        <v>73</v>
      </c>
      <c r="J1063" s="20">
        <v>7</v>
      </c>
      <c r="K1063" s="38">
        <v>567</v>
      </c>
      <c r="L1063" s="20" t="s">
        <v>44</v>
      </c>
      <c r="M1063" s="86"/>
      <c r="N1063" s="22">
        <v>0.62515491247177102</v>
      </c>
    </row>
    <row r="1064" spans="1:14" x14ac:dyDescent="0.35">
      <c r="A1064" s="92"/>
      <c r="B1064" s="20" t="s">
        <v>21</v>
      </c>
      <c r="C1064" s="21">
        <v>0.30592105263157893</v>
      </c>
      <c r="D1064" s="20">
        <v>0.57894736842105265</v>
      </c>
      <c r="E1064" s="21">
        <v>8.3881578947368418E-2</v>
      </c>
      <c r="F1064" s="20">
        <v>3.125E-2</v>
      </c>
      <c r="G1064" s="21">
        <v>186</v>
      </c>
      <c r="H1064" s="20">
        <v>352</v>
      </c>
      <c r="I1064" s="21">
        <v>51</v>
      </c>
      <c r="J1064" s="20">
        <v>19</v>
      </c>
      <c r="K1064" s="38">
        <v>608</v>
      </c>
      <c r="L1064" s="20" t="s">
        <v>44</v>
      </c>
      <c r="M1064" s="86"/>
      <c r="N1064" s="22">
        <v>0.63318085670471203</v>
      </c>
    </row>
    <row r="1065" spans="1:14" ht="16" thickBot="1" x14ac:dyDescent="0.4">
      <c r="A1065" s="93"/>
      <c r="B1065" s="26" t="s">
        <v>381</v>
      </c>
      <c r="C1065" s="27">
        <v>0.66369047619047616</v>
      </c>
      <c r="D1065" s="26">
        <v>0.26190476190476192</v>
      </c>
      <c r="E1065" s="27">
        <v>6.8452380952380959E-2</v>
      </c>
      <c r="F1065" s="26">
        <v>5.9523809523809521E-3</v>
      </c>
      <c r="G1065" s="27">
        <v>223</v>
      </c>
      <c r="H1065" s="26">
        <v>88</v>
      </c>
      <c r="I1065" s="27">
        <v>23</v>
      </c>
      <c r="J1065" s="26">
        <v>2</v>
      </c>
      <c r="K1065" s="39">
        <v>336</v>
      </c>
      <c r="L1065" s="26" t="s">
        <v>44</v>
      </c>
      <c r="M1065" s="87"/>
      <c r="N1065" s="28">
        <v>0.62145322561264005</v>
      </c>
    </row>
    <row r="1066" spans="1:14" x14ac:dyDescent="0.35">
      <c r="A1066" s="88" t="s">
        <v>533</v>
      </c>
      <c r="B1066" s="8" t="s">
        <v>29</v>
      </c>
      <c r="C1066" s="9">
        <v>0.40462427745664742</v>
      </c>
      <c r="D1066" s="8">
        <v>0.26204238921001932</v>
      </c>
      <c r="E1066" s="9">
        <v>0.2466281310211946</v>
      </c>
      <c r="F1066" s="8">
        <v>8.6705202312138727E-2</v>
      </c>
      <c r="G1066" s="9">
        <v>210</v>
      </c>
      <c r="H1066" s="8">
        <v>136</v>
      </c>
      <c r="I1066" s="9">
        <v>128</v>
      </c>
      <c r="J1066" s="8">
        <v>45</v>
      </c>
      <c r="K1066" s="34">
        <v>519</v>
      </c>
      <c r="L1066" s="8" t="s">
        <v>59</v>
      </c>
      <c r="M1066" s="82">
        <v>-0.57055425643920898</v>
      </c>
      <c r="N1066" s="10">
        <v>0.44514587521553001</v>
      </c>
    </row>
    <row r="1067" spans="1:14" x14ac:dyDescent="0.35">
      <c r="A1067" s="89"/>
      <c r="B1067" s="11" t="s">
        <v>25</v>
      </c>
      <c r="C1067" s="12">
        <v>0.4853801169590643</v>
      </c>
      <c r="D1067" s="11">
        <v>0.27485380116959057</v>
      </c>
      <c r="E1067" s="12">
        <v>0.2105263157894737</v>
      </c>
      <c r="F1067" s="11">
        <v>2.923976608187134E-2</v>
      </c>
      <c r="G1067" s="12">
        <v>166</v>
      </c>
      <c r="H1067" s="11">
        <v>94</v>
      </c>
      <c r="I1067" s="12">
        <v>72</v>
      </c>
      <c r="J1067" s="11">
        <v>10</v>
      </c>
      <c r="K1067" s="35">
        <v>342</v>
      </c>
      <c r="L1067" s="11" t="s">
        <v>59</v>
      </c>
      <c r="M1067" s="83"/>
      <c r="N1067" s="13">
        <v>0.5366570353508</v>
      </c>
    </row>
    <row r="1068" spans="1:14" x14ac:dyDescent="0.35">
      <c r="A1068" s="89"/>
      <c r="B1068" s="11" t="s">
        <v>63</v>
      </c>
      <c r="C1068" s="12">
        <v>0.72457627118644063</v>
      </c>
      <c r="D1068" s="11">
        <v>0.20338983050847459</v>
      </c>
      <c r="E1068" s="12">
        <v>5.5084745762711863E-2</v>
      </c>
      <c r="F1068" s="11">
        <v>1.6949152542372881E-2</v>
      </c>
      <c r="G1068" s="12">
        <v>171</v>
      </c>
      <c r="H1068" s="11">
        <v>48</v>
      </c>
      <c r="I1068" s="12">
        <v>13</v>
      </c>
      <c r="J1068" s="11">
        <v>4</v>
      </c>
      <c r="K1068" s="35">
        <v>236</v>
      </c>
      <c r="L1068" s="11" t="s">
        <v>59</v>
      </c>
      <c r="M1068" s="83"/>
      <c r="N1068" s="13">
        <v>0.16891364753246299</v>
      </c>
    </row>
    <row r="1069" spans="1:14" x14ac:dyDescent="0.35">
      <c r="A1069" s="89"/>
      <c r="B1069" s="11" t="s">
        <v>380</v>
      </c>
      <c r="C1069" s="12">
        <v>0.62531645569620253</v>
      </c>
      <c r="D1069" s="11">
        <v>0.19746835443037969</v>
      </c>
      <c r="E1069" s="12">
        <v>0.13417721518987341</v>
      </c>
      <c r="F1069" s="11">
        <v>4.3037974683544297E-2</v>
      </c>
      <c r="G1069" s="12">
        <v>247</v>
      </c>
      <c r="H1069" s="11">
        <v>78</v>
      </c>
      <c r="I1069" s="12">
        <v>53</v>
      </c>
      <c r="J1069" s="11">
        <v>17</v>
      </c>
      <c r="K1069" s="35">
        <v>395</v>
      </c>
      <c r="L1069" s="11" t="s">
        <v>59</v>
      </c>
      <c r="M1069" s="83"/>
      <c r="N1069" s="13">
        <v>0.47816357016563399</v>
      </c>
    </row>
    <row r="1070" spans="1:14" x14ac:dyDescent="0.35">
      <c r="A1070" s="89"/>
      <c r="B1070" s="11" t="s">
        <v>11</v>
      </c>
      <c r="C1070" s="12">
        <v>0.67195767195767198</v>
      </c>
      <c r="D1070" s="11">
        <v>0.1534391534391534</v>
      </c>
      <c r="E1070" s="12">
        <v>0.16049382716049379</v>
      </c>
      <c r="F1070" s="11">
        <v>1.410934744268078E-2</v>
      </c>
      <c r="G1070" s="12">
        <v>381</v>
      </c>
      <c r="H1070" s="11">
        <v>87</v>
      </c>
      <c r="I1070" s="12">
        <v>91</v>
      </c>
      <c r="J1070" s="11">
        <v>8</v>
      </c>
      <c r="K1070" s="35">
        <v>567</v>
      </c>
      <c r="L1070" s="11" t="s">
        <v>59</v>
      </c>
      <c r="M1070" s="83"/>
      <c r="N1070" s="13">
        <v>0.50549775362014804</v>
      </c>
    </row>
    <row r="1071" spans="1:14" x14ac:dyDescent="0.35">
      <c r="A1071" s="89"/>
      <c r="B1071" s="11" t="s">
        <v>21</v>
      </c>
      <c r="C1071" s="12">
        <v>0.32730263157894729</v>
      </c>
      <c r="D1071" s="11">
        <v>0.47861842105263158</v>
      </c>
      <c r="E1071" s="12">
        <v>0.15296052631578949</v>
      </c>
      <c r="F1071" s="11">
        <v>4.1118421052631582E-2</v>
      </c>
      <c r="G1071" s="12">
        <v>199</v>
      </c>
      <c r="H1071" s="11">
        <v>291</v>
      </c>
      <c r="I1071" s="12">
        <v>93</v>
      </c>
      <c r="J1071" s="11">
        <v>25</v>
      </c>
      <c r="K1071" s="35">
        <v>608</v>
      </c>
      <c r="L1071" s="11" t="s">
        <v>59</v>
      </c>
      <c r="M1071" s="83"/>
      <c r="N1071" s="13">
        <v>0.59181416034698497</v>
      </c>
    </row>
    <row r="1072" spans="1:14" ht="16" thickBot="1" x14ac:dyDescent="0.4">
      <c r="A1072" s="90"/>
      <c r="B1072" s="14" t="s">
        <v>381</v>
      </c>
      <c r="C1072" s="15">
        <v>0.47023809523809518</v>
      </c>
      <c r="D1072" s="14">
        <v>0.2410714285714286</v>
      </c>
      <c r="E1072" s="15">
        <v>0.23809523809523811</v>
      </c>
      <c r="F1072" s="14">
        <v>5.0595238095238103E-2</v>
      </c>
      <c r="G1072" s="15">
        <v>158</v>
      </c>
      <c r="H1072" s="14">
        <v>81</v>
      </c>
      <c r="I1072" s="15">
        <v>80</v>
      </c>
      <c r="J1072" s="14">
        <v>17</v>
      </c>
      <c r="K1072" s="36">
        <v>336</v>
      </c>
      <c r="L1072" s="14" t="s">
        <v>59</v>
      </c>
      <c r="M1072" s="84"/>
      <c r="N1072" s="16">
        <v>0.29659250378608698</v>
      </c>
    </row>
    <row r="1073" spans="1:14" x14ac:dyDescent="0.35">
      <c r="A1073" s="91" t="s">
        <v>534</v>
      </c>
      <c r="B1073" s="17" t="s">
        <v>29</v>
      </c>
      <c r="C1073" s="18">
        <v>0.50096339113680155</v>
      </c>
      <c r="D1073" s="17">
        <v>0.45857418111753367</v>
      </c>
      <c r="E1073" s="18">
        <v>2.312138728323699E-2</v>
      </c>
      <c r="F1073" s="17">
        <v>1.734104046242774E-2</v>
      </c>
      <c r="G1073" s="18">
        <v>260</v>
      </c>
      <c r="H1073" s="17">
        <v>238</v>
      </c>
      <c r="I1073" s="18">
        <v>12</v>
      </c>
      <c r="J1073" s="17">
        <v>9</v>
      </c>
      <c r="K1073" s="37">
        <v>519</v>
      </c>
      <c r="L1073" s="17" t="s">
        <v>44</v>
      </c>
      <c r="M1073" s="85">
        <v>-0.67008441686630205</v>
      </c>
      <c r="N1073" s="19">
        <v>0.56702047586440996</v>
      </c>
    </row>
    <row r="1074" spans="1:14" x14ac:dyDescent="0.35">
      <c r="A1074" s="92"/>
      <c r="B1074" s="20" t="s">
        <v>25</v>
      </c>
      <c r="C1074" s="21">
        <v>0.57602339181286555</v>
      </c>
      <c r="D1074" s="20">
        <v>0.33918128654970758</v>
      </c>
      <c r="E1074" s="21">
        <v>7.3099415204678359E-2</v>
      </c>
      <c r="F1074" s="20">
        <v>1.1695906432748541E-2</v>
      </c>
      <c r="G1074" s="21">
        <v>197</v>
      </c>
      <c r="H1074" s="20">
        <v>116</v>
      </c>
      <c r="I1074" s="21">
        <v>25</v>
      </c>
      <c r="J1074" s="20">
        <v>4</v>
      </c>
      <c r="K1074" s="38">
        <v>342</v>
      </c>
      <c r="L1074" s="20" t="s">
        <v>44</v>
      </c>
      <c r="M1074" s="86"/>
      <c r="N1074" s="22">
        <v>0.595370233058929</v>
      </c>
    </row>
    <row r="1075" spans="1:14" x14ac:dyDescent="0.35">
      <c r="A1075" s="92"/>
      <c r="B1075" s="20" t="s">
        <v>63</v>
      </c>
      <c r="C1075" s="21">
        <v>0.44491525423728812</v>
      </c>
      <c r="D1075" s="20">
        <v>0.29661016949152541</v>
      </c>
      <c r="E1075" s="21">
        <v>0.24152542372881361</v>
      </c>
      <c r="F1075" s="20">
        <v>1.6949152542372881E-2</v>
      </c>
      <c r="G1075" s="21">
        <v>105</v>
      </c>
      <c r="H1075" s="20">
        <v>70</v>
      </c>
      <c r="I1075" s="21">
        <v>57</v>
      </c>
      <c r="J1075" s="20">
        <v>4</v>
      </c>
      <c r="K1075" s="38">
        <v>236</v>
      </c>
      <c r="L1075" s="20" t="s">
        <v>44</v>
      </c>
      <c r="M1075" s="86"/>
      <c r="N1075" s="22">
        <v>1.6913978382945099E-2</v>
      </c>
    </row>
    <row r="1076" spans="1:14" x14ac:dyDescent="0.35">
      <c r="A1076" s="92"/>
      <c r="B1076" s="20" t="s">
        <v>380</v>
      </c>
      <c r="C1076" s="21">
        <v>0.70886075949367089</v>
      </c>
      <c r="D1076" s="20">
        <v>0.23037974683544299</v>
      </c>
      <c r="E1076" s="21">
        <v>5.5696202531645568E-2</v>
      </c>
      <c r="F1076" s="20">
        <v>5.0632911392405064E-3</v>
      </c>
      <c r="G1076" s="21">
        <v>280</v>
      </c>
      <c r="H1076" s="20">
        <v>91</v>
      </c>
      <c r="I1076" s="21">
        <v>22</v>
      </c>
      <c r="J1076" s="20">
        <v>2</v>
      </c>
      <c r="K1076" s="38">
        <v>395</v>
      </c>
      <c r="L1076" s="20" t="s">
        <v>44</v>
      </c>
      <c r="M1076" s="86"/>
      <c r="N1076" s="22">
        <v>0.54017668962478604</v>
      </c>
    </row>
    <row r="1077" spans="1:14" x14ac:dyDescent="0.35">
      <c r="A1077" s="92"/>
      <c r="B1077" s="20" t="s">
        <v>11</v>
      </c>
      <c r="C1077" s="21">
        <v>0.81657848324514992</v>
      </c>
      <c r="D1077" s="20">
        <v>0.13932980599647271</v>
      </c>
      <c r="E1077" s="21">
        <v>3.3509700176366841E-2</v>
      </c>
      <c r="F1077" s="20">
        <v>1.058201058201058E-2</v>
      </c>
      <c r="G1077" s="21">
        <v>463</v>
      </c>
      <c r="H1077" s="20">
        <v>79</v>
      </c>
      <c r="I1077" s="21">
        <v>19</v>
      </c>
      <c r="J1077" s="20">
        <v>6</v>
      </c>
      <c r="K1077" s="38">
        <v>567</v>
      </c>
      <c r="L1077" s="20" t="s">
        <v>44</v>
      </c>
      <c r="M1077" s="86"/>
      <c r="N1077" s="22">
        <v>0.82658654451370195</v>
      </c>
    </row>
    <row r="1078" spans="1:14" x14ac:dyDescent="0.35">
      <c r="A1078" s="92"/>
      <c r="B1078" s="20" t="s">
        <v>21</v>
      </c>
      <c r="C1078" s="21">
        <v>0.35855263157894729</v>
      </c>
      <c r="D1078" s="20">
        <v>0.54934210526315785</v>
      </c>
      <c r="E1078" s="21">
        <v>7.2368421052631582E-2</v>
      </c>
      <c r="F1078" s="20">
        <v>1.973684210526316E-2</v>
      </c>
      <c r="G1078" s="21">
        <v>218</v>
      </c>
      <c r="H1078" s="20">
        <v>334</v>
      </c>
      <c r="I1078" s="21">
        <v>44</v>
      </c>
      <c r="J1078" s="20">
        <v>12</v>
      </c>
      <c r="K1078" s="38">
        <v>608</v>
      </c>
      <c r="L1078" s="20" t="s">
        <v>44</v>
      </c>
      <c r="M1078" s="86"/>
      <c r="N1078" s="22">
        <v>0.74742239713668801</v>
      </c>
    </row>
    <row r="1079" spans="1:14" ht="16" thickBot="1" x14ac:dyDescent="0.4">
      <c r="A1079" s="94"/>
      <c r="B1079" s="23" t="s">
        <v>381</v>
      </c>
      <c r="C1079" s="24">
        <v>0.57440476190476186</v>
      </c>
      <c r="D1079" s="23">
        <v>0.3125</v>
      </c>
      <c r="E1079" s="24">
        <v>0.10119047619047621</v>
      </c>
      <c r="F1079" s="23">
        <v>1.1904761904761901E-2</v>
      </c>
      <c r="G1079" s="24">
        <v>193</v>
      </c>
      <c r="H1079" s="23">
        <v>105</v>
      </c>
      <c r="I1079" s="24">
        <v>34</v>
      </c>
      <c r="J1079" s="23">
        <v>4</v>
      </c>
      <c r="K1079" s="40">
        <v>336</v>
      </c>
      <c r="L1079" s="23" t="s">
        <v>44</v>
      </c>
      <c r="M1079" s="87"/>
      <c r="N1079" s="25">
        <v>0.50587445497512795</v>
      </c>
    </row>
  </sheetData>
  <autoFilter ref="A1:N1079" xr:uid="{00000000-0009-0000-0000-000005000000}"/>
  <mergeCells count="418">
    <mergeCell ref="A219:A225"/>
    <mergeCell ref="A212:A218"/>
    <mergeCell ref="A205:A211"/>
    <mergeCell ref="A100:A106"/>
    <mergeCell ref="A93:A99"/>
    <mergeCell ref="A86:A92"/>
    <mergeCell ref="A79:A85"/>
    <mergeCell ref="A408:A414"/>
    <mergeCell ref="A401:A407"/>
    <mergeCell ref="A394:A400"/>
    <mergeCell ref="A387:A393"/>
    <mergeCell ref="A380:A386"/>
    <mergeCell ref="A373:A379"/>
    <mergeCell ref="A366:A372"/>
    <mergeCell ref="A359:A365"/>
    <mergeCell ref="A352:A358"/>
    <mergeCell ref="A331:A337"/>
    <mergeCell ref="A324:A330"/>
    <mergeCell ref="A317:A323"/>
    <mergeCell ref="A310:A316"/>
    <mergeCell ref="A303:A309"/>
    <mergeCell ref="A296:A302"/>
    <mergeCell ref="A289:A295"/>
    <mergeCell ref="A240:A246"/>
    <mergeCell ref="A2:A8"/>
    <mergeCell ref="A23:A29"/>
    <mergeCell ref="A16:A22"/>
    <mergeCell ref="A9:A15"/>
    <mergeCell ref="A282:A288"/>
    <mergeCell ref="A275:A281"/>
    <mergeCell ref="A268:A274"/>
    <mergeCell ref="A261:A267"/>
    <mergeCell ref="A254:A260"/>
    <mergeCell ref="A247:A253"/>
    <mergeCell ref="A198:A204"/>
    <mergeCell ref="A191:A197"/>
    <mergeCell ref="A184:A190"/>
    <mergeCell ref="A177:A183"/>
    <mergeCell ref="A170:A176"/>
    <mergeCell ref="A233:A239"/>
    <mergeCell ref="A226:A232"/>
    <mergeCell ref="A156:A162"/>
    <mergeCell ref="A149:A155"/>
    <mergeCell ref="A142:A148"/>
    <mergeCell ref="A135:A141"/>
    <mergeCell ref="A128:A134"/>
    <mergeCell ref="A121:A127"/>
    <mergeCell ref="A163:A169"/>
    <mergeCell ref="A905:A911"/>
    <mergeCell ref="A898:A904"/>
    <mergeCell ref="A891:A897"/>
    <mergeCell ref="A884:A890"/>
    <mergeCell ref="A877:A883"/>
    <mergeCell ref="A870:A876"/>
    <mergeCell ref="A793:A799"/>
    <mergeCell ref="A786:A792"/>
    <mergeCell ref="A863:A869"/>
    <mergeCell ref="A856:A862"/>
    <mergeCell ref="A849:A855"/>
    <mergeCell ref="A842:A848"/>
    <mergeCell ref="A835:A841"/>
    <mergeCell ref="A828:A834"/>
    <mergeCell ref="A807:A813"/>
    <mergeCell ref="A800:A806"/>
    <mergeCell ref="A345:A351"/>
    <mergeCell ref="A338:A344"/>
    <mergeCell ref="A30:A36"/>
    <mergeCell ref="A968:A974"/>
    <mergeCell ref="A961:A967"/>
    <mergeCell ref="A954:A960"/>
    <mergeCell ref="A947:A953"/>
    <mergeCell ref="A940:A946"/>
    <mergeCell ref="A933:A939"/>
    <mergeCell ref="A926:A932"/>
    <mergeCell ref="A919:A925"/>
    <mergeCell ref="A912:A918"/>
    <mergeCell ref="A72:A78"/>
    <mergeCell ref="A65:A71"/>
    <mergeCell ref="A58:A64"/>
    <mergeCell ref="A51:A57"/>
    <mergeCell ref="A44:A50"/>
    <mergeCell ref="A37:A43"/>
    <mergeCell ref="A114:A120"/>
    <mergeCell ref="A107:A113"/>
    <mergeCell ref="A751:A757"/>
    <mergeCell ref="A744:A750"/>
    <mergeCell ref="A821:A827"/>
    <mergeCell ref="A814:A820"/>
    <mergeCell ref="A1073:A1079"/>
    <mergeCell ref="A1066:A1072"/>
    <mergeCell ref="A1059:A1065"/>
    <mergeCell ref="A1052:A1058"/>
    <mergeCell ref="A1045:A1051"/>
    <mergeCell ref="A485:A491"/>
    <mergeCell ref="A478:A484"/>
    <mergeCell ref="A471:A477"/>
    <mergeCell ref="A464:A470"/>
    <mergeCell ref="A527:A533"/>
    <mergeCell ref="A520:A526"/>
    <mergeCell ref="A513:A519"/>
    <mergeCell ref="A506:A512"/>
    <mergeCell ref="A499:A505"/>
    <mergeCell ref="A492:A498"/>
    <mergeCell ref="A569:A575"/>
    <mergeCell ref="A562:A568"/>
    <mergeCell ref="A555:A561"/>
    <mergeCell ref="A548:A554"/>
    <mergeCell ref="A541:A547"/>
    <mergeCell ref="A534:A540"/>
    <mergeCell ref="A611:A617"/>
    <mergeCell ref="A604:A610"/>
    <mergeCell ref="A597:A603"/>
    <mergeCell ref="A1038:A1044"/>
    <mergeCell ref="A1031:A1037"/>
    <mergeCell ref="A1024:A1030"/>
    <mergeCell ref="A1017:A1023"/>
    <mergeCell ref="A1010:A1016"/>
    <mergeCell ref="A1003:A1009"/>
    <mergeCell ref="A443:A449"/>
    <mergeCell ref="A436:A442"/>
    <mergeCell ref="A429:A435"/>
    <mergeCell ref="A457:A463"/>
    <mergeCell ref="A450:A456"/>
    <mergeCell ref="A590:A596"/>
    <mergeCell ref="A583:A589"/>
    <mergeCell ref="A576:A582"/>
    <mergeCell ref="A653:A659"/>
    <mergeCell ref="A646:A652"/>
    <mergeCell ref="A639:A645"/>
    <mergeCell ref="A632:A638"/>
    <mergeCell ref="A625:A631"/>
    <mergeCell ref="A618:A624"/>
    <mergeCell ref="A695:A701"/>
    <mergeCell ref="A688:A694"/>
    <mergeCell ref="A681:A687"/>
    <mergeCell ref="A674:A680"/>
    <mergeCell ref="A996:A1002"/>
    <mergeCell ref="A989:A995"/>
    <mergeCell ref="A982:A988"/>
    <mergeCell ref="A975:A981"/>
    <mergeCell ref="M324:M330"/>
    <mergeCell ref="M317:M323"/>
    <mergeCell ref="M562:M568"/>
    <mergeCell ref="M555:M561"/>
    <mergeCell ref="M548:M554"/>
    <mergeCell ref="M541:M547"/>
    <mergeCell ref="A422:A428"/>
    <mergeCell ref="A415:A421"/>
    <mergeCell ref="A667:A673"/>
    <mergeCell ref="A660:A666"/>
    <mergeCell ref="A737:A743"/>
    <mergeCell ref="A730:A736"/>
    <mergeCell ref="A723:A729"/>
    <mergeCell ref="A716:A722"/>
    <mergeCell ref="A709:A715"/>
    <mergeCell ref="A702:A708"/>
    <mergeCell ref="A779:A785"/>
    <mergeCell ref="A772:A778"/>
    <mergeCell ref="A765:A771"/>
    <mergeCell ref="A758:A764"/>
    <mergeCell ref="M254:M260"/>
    <mergeCell ref="M247:M253"/>
    <mergeCell ref="M240:M246"/>
    <mergeCell ref="M233:M239"/>
    <mergeCell ref="M310:M316"/>
    <mergeCell ref="M303:M309"/>
    <mergeCell ref="M296:M302"/>
    <mergeCell ref="M289:M295"/>
    <mergeCell ref="M282:M288"/>
    <mergeCell ref="M275:M281"/>
    <mergeCell ref="M611:M617"/>
    <mergeCell ref="M604:M610"/>
    <mergeCell ref="M597:M603"/>
    <mergeCell ref="M590:M596"/>
    <mergeCell ref="M583:M589"/>
    <mergeCell ref="M576:M582"/>
    <mergeCell ref="M569:M575"/>
    <mergeCell ref="M58:M64"/>
    <mergeCell ref="M51:M57"/>
    <mergeCell ref="M100:M106"/>
    <mergeCell ref="M93:M99"/>
    <mergeCell ref="M86:M92"/>
    <mergeCell ref="M79:M85"/>
    <mergeCell ref="M72:M78"/>
    <mergeCell ref="M65:M71"/>
    <mergeCell ref="M142:M148"/>
    <mergeCell ref="M135:M141"/>
    <mergeCell ref="M128:M134"/>
    <mergeCell ref="M121:M127"/>
    <mergeCell ref="M114:M120"/>
    <mergeCell ref="M107:M113"/>
    <mergeCell ref="M184:M190"/>
    <mergeCell ref="M177:M183"/>
    <mergeCell ref="M170:M176"/>
    <mergeCell ref="M534:M540"/>
    <mergeCell ref="M527:M533"/>
    <mergeCell ref="M520:M526"/>
    <mergeCell ref="M513:M519"/>
    <mergeCell ref="M506:M512"/>
    <mergeCell ref="M499:M505"/>
    <mergeCell ref="M16:M22"/>
    <mergeCell ref="M9:M15"/>
    <mergeCell ref="M2:M8"/>
    <mergeCell ref="M44:M50"/>
    <mergeCell ref="M37:M43"/>
    <mergeCell ref="M30:M36"/>
    <mergeCell ref="M23:M29"/>
    <mergeCell ref="M163:M169"/>
    <mergeCell ref="M156:M162"/>
    <mergeCell ref="M149:M155"/>
    <mergeCell ref="M226:M232"/>
    <mergeCell ref="M219:M225"/>
    <mergeCell ref="M212:M218"/>
    <mergeCell ref="M205:M211"/>
    <mergeCell ref="M198:M204"/>
    <mergeCell ref="M191:M197"/>
    <mergeCell ref="M268:M274"/>
    <mergeCell ref="M261:M267"/>
    <mergeCell ref="M450:M456"/>
    <mergeCell ref="M443:M449"/>
    <mergeCell ref="M436:M442"/>
    <mergeCell ref="M429:M435"/>
    <mergeCell ref="M422:M428"/>
    <mergeCell ref="M415:M421"/>
    <mergeCell ref="M492:M498"/>
    <mergeCell ref="M485:M491"/>
    <mergeCell ref="M478:M484"/>
    <mergeCell ref="M471:M477"/>
    <mergeCell ref="M464:M470"/>
    <mergeCell ref="M457:M463"/>
    <mergeCell ref="M366:M372"/>
    <mergeCell ref="M359:M365"/>
    <mergeCell ref="M352:M358"/>
    <mergeCell ref="M345:M351"/>
    <mergeCell ref="M338:M344"/>
    <mergeCell ref="M331:M337"/>
    <mergeCell ref="M408:M414"/>
    <mergeCell ref="M401:M407"/>
    <mergeCell ref="M394:M400"/>
    <mergeCell ref="M387:M393"/>
    <mergeCell ref="M380:M386"/>
    <mergeCell ref="M373:M379"/>
    <mergeCell ref="M730:M736"/>
    <mergeCell ref="M723:M729"/>
    <mergeCell ref="M716:M722"/>
    <mergeCell ref="M709:M715"/>
    <mergeCell ref="M786:M792"/>
    <mergeCell ref="M779:M785"/>
    <mergeCell ref="M772:M778"/>
    <mergeCell ref="M765:M771"/>
    <mergeCell ref="M758:M764"/>
    <mergeCell ref="M751:M757"/>
    <mergeCell ref="M618:M624"/>
    <mergeCell ref="M1073:M1079"/>
    <mergeCell ref="M1066:M1072"/>
    <mergeCell ref="M1059:M1065"/>
    <mergeCell ref="M1052:M1058"/>
    <mergeCell ref="M1045:M1051"/>
    <mergeCell ref="M1038:M1044"/>
    <mergeCell ref="M1031:M1037"/>
    <mergeCell ref="M1024:M1030"/>
    <mergeCell ref="M1017:M1023"/>
    <mergeCell ref="M660:M666"/>
    <mergeCell ref="M653:M659"/>
    <mergeCell ref="M646:M652"/>
    <mergeCell ref="M639:M645"/>
    <mergeCell ref="M632:M638"/>
    <mergeCell ref="M625:M631"/>
    <mergeCell ref="M702:M708"/>
    <mergeCell ref="M695:M701"/>
    <mergeCell ref="M688:M694"/>
    <mergeCell ref="M681:M687"/>
    <mergeCell ref="M674:M680"/>
    <mergeCell ref="M667:M673"/>
    <mergeCell ref="M744:M750"/>
    <mergeCell ref="M737:M743"/>
    <mergeCell ref="M968:M974"/>
    <mergeCell ref="M961:M967"/>
    <mergeCell ref="M954:M960"/>
    <mergeCell ref="M947:M953"/>
    <mergeCell ref="M940:M946"/>
    <mergeCell ref="M933:M939"/>
    <mergeCell ref="M1010:M1016"/>
    <mergeCell ref="M1003:M1009"/>
    <mergeCell ref="M996:M1002"/>
    <mergeCell ref="M989:M995"/>
    <mergeCell ref="M982:M988"/>
    <mergeCell ref="M975:M981"/>
    <mergeCell ref="M884:M890"/>
    <mergeCell ref="M877:M883"/>
    <mergeCell ref="L765:L771"/>
    <mergeCell ref="L758:L764"/>
    <mergeCell ref="L751:L757"/>
    <mergeCell ref="L744:L750"/>
    <mergeCell ref="M926:M932"/>
    <mergeCell ref="M919:M925"/>
    <mergeCell ref="M912:M918"/>
    <mergeCell ref="M905:M911"/>
    <mergeCell ref="M898:M904"/>
    <mergeCell ref="M891:M897"/>
    <mergeCell ref="M828:M834"/>
    <mergeCell ref="M821:M827"/>
    <mergeCell ref="M814:M820"/>
    <mergeCell ref="M807:M813"/>
    <mergeCell ref="M800:M806"/>
    <mergeCell ref="M793:M799"/>
    <mergeCell ref="M870:M876"/>
    <mergeCell ref="M863:M869"/>
    <mergeCell ref="M856:M862"/>
    <mergeCell ref="M849:M855"/>
    <mergeCell ref="M842:M848"/>
    <mergeCell ref="M835:M841"/>
    <mergeCell ref="L695:L701"/>
    <mergeCell ref="L688:L694"/>
    <mergeCell ref="L681:L687"/>
    <mergeCell ref="L674:L680"/>
    <mergeCell ref="L667:L673"/>
    <mergeCell ref="L660:L666"/>
    <mergeCell ref="L737:L743"/>
    <mergeCell ref="L730:L736"/>
    <mergeCell ref="L723:L729"/>
    <mergeCell ref="L716:L722"/>
    <mergeCell ref="L709:L715"/>
    <mergeCell ref="L702:L708"/>
    <mergeCell ref="L611:L617"/>
    <mergeCell ref="L604:L610"/>
    <mergeCell ref="L597:L603"/>
    <mergeCell ref="L590:L596"/>
    <mergeCell ref="L583:L589"/>
    <mergeCell ref="L576:L582"/>
    <mergeCell ref="L653:L659"/>
    <mergeCell ref="L646:L652"/>
    <mergeCell ref="L639:L645"/>
    <mergeCell ref="L632:L638"/>
    <mergeCell ref="L625:L631"/>
    <mergeCell ref="L618:L624"/>
    <mergeCell ref="L527:L533"/>
    <mergeCell ref="L520:L526"/>
    <mergeCell ref="L513:L519"/>
    <mergeCell ref="L506:L512"/>
    <mergeCell ref="L499:L505"/>
    <mergeCell ref="L492:L498"/>
    <mergeCell ref="L569:L575"/>
    <mergeCell ref="L562:L568"/>
    <mergeCell ref="L555:L561"/>
    <mergeCell ref="L548:L554"/>
    <mergeCell ref="L541:L547"/>
    <mergeCell ref="L534:L540"/>
    <mergeCell ref="L443:L449"/>
    <mergeCell ref="L436:L442"/>
    <mergeCell ref="L429:L435"/>
    <mergeCell ref="L422:L428"/>
    <mergeCell ref="L415:L421"/>
    <mergeCell ref="L408:L414"/>
    <mergeCell ref="L485:L491"/>
    <mergeCell ref="L478:L484"/>
    <mergeCell ref="L471:L477"/>
    <mergeCell ref="L464:L470"/>
    <mergeCell ref="L457:L463"/>
    <mergeCell ref="L450:L456"/>
    <mergeCell ref="L359:L365"/>
    <mergeCell ref="L352:L358"/>
    <mergeCell ref="L345:L351"/>
    <mergeCell ref="L338:L344"/>
    <mergeCell ref="L331:L337"/>
    <mergeCell ref="L324:L330"/>
    <mergeCell ref="L401:L407"/>
    <mergeCell ref="L394:L400"/>
    <mergeCell ref="L387:L393"/>
    <mergeCell ref="L380:L386"/>
    <mergeCell ref="L373:L379"/>
    <mergeCell ref="L366:L372"/>
    <mergeCell ref="L275:L281"/>
    <mergeCell ref="L268:L274"/>
    <mergeCell ref="L261:L267"/>
    <mergeCell ref="L254:L260"/>
    <mergeCell ref="L247:L253"/>
    <mergeCell ref="L240:L246"/>
    <mergeCell ref="L317:L323"/>
    <mergeCell ref="L310:L316"/>
    <mergeCell ref="L303:L309"/>
    <mergeCell ref="L296:L302"/>
    <mergeCell ref="L289:L295"/>
    <mergeCell ref="L282:L288"/>
    <mergeCell ref="L191:L197"/>
    <mergeCell ref="L184:L190"/>
    <mergeCell ref="L177:L183"/>
    <mergeCell ref="L170:L176"/>
    <mergeCell ref="L163:L169"/>
    <mergeCell ref="L156:L162"/>
    <mergeCell ref="L233:L239"/>
    <mergeCell ref="L226:L232"/>
    <mergeCell ref="L219:L225"/>
    <mergeCell ref="L212:L218"/>
    <mergeCell ref="L205:L211"/>
    <mergeCell ref="L198:L204"/>
    <mergeCell ref="L107:L113"/>
    <mergeCell ref="L100:L106"/>
    <mergeCell ref="L93:L99"/>
    <mergeCell ref="L86:L92"/>
    <mergeCell ref="L79:L85"/>
    <mergeCell ref="L72:L78"/>
    <mergeCell ref="L149:L155"/>
    <mergeCell ref="L142:L148"/>
    <mergeCell ref="L135:L141"/>
    <mergeCell ref="L128:L134"/>
    <mergeCell ref="L121:L127"/>
    <mergeCell ref="L114:L120"/>
    <mergeCell ref="L23:L29"/>
    <mergeCell ref="L16:L22"/>
    <mergeCell ref="L9:L15"/>
    <mergeCell ref="L2:L8"/>
    <mergeCell ref="L65:L71"/>
    <mergeCell ref="L58:L64"/>
    <mergeCell ref="L51:L57"/>
    <mergeCell ref="L44:L50"/>
    <mergeCell ref="L37:L43"/>
    <mergeCell ref="L30:L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3"/>
  <dimension ref="A1:L155"/>
  <sheetViews>
    <sheetView workbookViewId="0">
      <selection activeCell="I2" sqref="I2"/>
    </sheetView>
  </sheetViews>
  <sheetFormatPr defaultRowHeight="15.5" x14ac:dyDescent="0.35"/>
  <cols>
    <col min="1" max="1" width="23.33203125" bestFit="1" customWidth="1"/>
    <col min="2" max="2" width="13.5" bestFit="1" customWidth="1"/>
    <col min="3" max="4" width="15.83203125" bestFit="1" customWidth="1"/>
    <col min="5" max="5" width="15.75" bestFit="1" customWidth="1"/>
    <col min="6" max="6" width="12.08203125" customWidth="1"/>
    <col min="7" max="7" width="11.75" customWidth="1"/>
    <col min="8" max="9" width="20.83203125" bestFit="1" customWidth="1"/>
    <col min="11" max="11" width="21.75" bestFit="1" customWidth="1"/>
    <col min="12" max="12" width="9" style="1"/>
  </cols>
  <sheetData>
    <row r="1" spans="1:12" x14ac:dyDescent="0.35">
      <c r="A1" s="50" t="s">
        <v>584</v>
      </c>
      <c r="B1" s="50" t="s">
        <v>585</v>
      </c>
      <c r="C1" s="50" t="s">
        <v>586</v>
      </c>
      <c r="D1" s="50" t="s">
        <v>587</v>
      </c>
      <c r="E1" s="50" t="s">
        <v>588</v>
      </c>
      <c r="F1" s="50" t="s">
        <v>589</v>
      </c>
      <c r="G1" s="50" t="s">
        <v>590</v>
      </c>
      <c r="H1" s="50" t="s">
        <v>583</v>
      </c>
      <c r="I1" s="50" t="s">
        <v>666</v>
      </c>
      <c r="J1" s="50" t="s">
        <v>606</v>
      </c>
      <c r="K1" t="s">
        <v>584</v>
      </c>
      <c r="L1" s="1" t="s">
        <v>606</v>
      </c>
    </row>
    <row r="2" spans="1:12" x14ac:dyDescent="0.35">
      <c r="A2" s="5" t="s">
        <v>441</v>
      </c>
      <c r="B2" s="1" t="e" cm="1">
        <f t="array" aca="1" ref="B2:C2" ca="1">_xlfn.TEXTSPLIT(A2,",")</f>
        <v>#NAME?</v>
      </c>
      <c r="C2" s="1" t="e">
        <f ca="1"/>
        <v>#NAME?</v>
      </c>
      <c r="D2" s="1" t="e">
        <f t="shared" ref="D2:D33" ca="1" si="0">TRIM(B2)</f>
        <v>#NAME?</v>
      </c>
      <c r="E2" s="1" t="e">
        <f t="shared" ref="E2:E33" ca="1" si="1">TRIM(C2)</f>
        <v>#NAME?</v>
      </c>
      <c r="F2" s="1" t="e">
        <f t="shared" ref="F2:F33" ca="1" si="2">LOWER(D2)</f>
        <v>#NAME?</v>
      </c>
      <c r="G2" s="1" t="e">
        <f t="shared" ref="G2:G33" ca="1" si="3">LOWER(E2)</f>
        <v>#NAME?</v>
      </c>
      <c r="H2" s="1" t="str">
        <f t="shared" ref="H2:H33" si="4">LOWER(A2)</f>
        <v>millabur, adolfo</v>
      </c>
      <c r="I2" s="1" t="s">
        <v>785</v>
      </c>
      <c r="J2" s="1">
        <f>VLOOKUP(I2,all!$N$2:$O$156,2,FALSE)</f>
        <v>1</v>
      </c>
      <c r="K2" t="s">
        <v>441</v>
      </c>
      <c r="L2" s="1">
        <v>1</v>
      </c>
    </row>
    <row r="3" spans="1:12" x14ac:dyDescent="0.35">
      <c r="A3" s="5" t="s">
        <v>526</v>
      </c>
      <c r="B3" s="1" t="e" cm="1">
        <f t="array" aca="1" ref="B3:C3" ca="1">_xlfn.TEXTSPLIT(A3,",")</f>
        <v>#NAME?</v>
      </c>
      <c r="C3" s="1" t="e">
        <f ca="1"/>
        <v>#NAME?</v>
      </c>
      <c r="D3" s="1" t="e">
        <f t="shared" ca="1" si="0"/>
        <v>#NAME?</v>
      </c>
      <c r="E3" s="1" t="e">
        <f t="shared" ca="1" si="1"/>
        <v>#NAME?</v>
      </c>
      <c r="F3" s="1" t="e">
        <f t="shared" ca="1" si="2"/>
        <v>#NAME?</v>
      </c>
      <c r="G3" s="1" t="e">
        <f t="shared" ca="1" si="3"/>
        <v>#NAME?</v>
      </c>
      <c r="H3" s="1" t="str">
        <f t="shared" si="4"/>
        <v>ampuero, adriana</v>
      </c>
      <c r="I3" s="1" t="s">
        <v>786</v>
      </c>
      <c r="J3" s="1">
        <f>VLOOKUP(I3,all!$N$2:$O$156,2,FALSE)</f>
        <v>2</v>
      </c>
      <c r="K3" t="s">
        <v>526</v>
      </c>
      <c r="L3" s="1">
        <v>2</v>
      </c>
    </row>
    <row r="4" spans="1:12" x14ac:dyDescent="0.35">
      <c r="A4" s="5" t="s">
        <v>506</v>
      </c>
      <c r="B4" s="1" t="e" cm="1">
        <f t="array" aca="1" ref="B4:C4" ca="1">_xlfn.TEXTSPLIT(A4,",")</f>
        <v>#NAME?</v>
      </c>
      <c r="C4" s="1" t="e">
        <f ca="1"/>
        <v>#NAME?</v>
      </c>
      <c r="D4" s="1" t="e">
        <f t="shared" ca="1" si="0"/>
        <v>#NAME?</v>
      </c>
      <c r="E4" s="1" t="e">
        <f t="shared" ca="1" si="1"/>
        <v>#NAME?</v>
      </c>
      <c r="F4" s="1" t="e">
        <f t="shared" ca="1" si="2"/>
        <v>#NAME?</v>
      </c>
      <c r="G4" s="1" t="e">
        <f t="shared" ca="1" si="3"/>
        <v>#NAME?</v>
      </c>
      <c r="H4" s="1" t="str">
        <f t="shared" si="4"/>
        <v>cancino, adriana</v>
      </c>
      <c r="I4" s="1" t="s">
        <v>787</v>
      </c>
      <c r="J4" s="1">
        <f>VLOOKUP(I4,all!$N$2:$O$156,2,FALSE)</f>
        <v>3</v>
      </c>
      <c r="K4" t="s">
        <v>506</v>
      </c>
      <c r="L4" s="1">
        <v>3</v>
      </c>
    </row>
    <row r="5" spans="1:12" x14ac:dyDescent="0.35">
      <c r="A5" s="5" t="s">
        <v>406</v>
      </c>
      <c r="B5" s="1" t="e" cm="1">
        <f t="array" aca="1" ref="B5:C5" ca="1">_xlfn.TEXTSPLIT(A5,",")</f>
        <v>#NAME?</v>
      </c>
      <c r="C5" s="1" t="e">
        <f ca="1"/>
        <v>#NAME?</v>
      </c>
      <c r="D5" s="1" t="e">
        <f t="shared" ca="1" si="0"/>
        <v>#NAME?</v>
      </c>
      <c r="E5" s="1" t="e">
        <f t="shared" ca="1" si="1"/>
        <v>#NAME?</v>
      </c>
      <c r="F5" s="1" t="e">
        <f t="shared" ca="1" si="2"/>
        <v>#NAME?</v>
      </c>
      <c r="G5" s="1" t="e">
        <f t="shared" ca="1" si="3"/>
        <v>#NAME?</v>
      </c>
      <c r="H5" s="1" t="str">
        <f t="shared" si="4"/>
        <v>squella, agustín</v>
      </c>
      <c r="I5" s="1" t="s">
        <v>788</v>
      </c>
      <c r="J5" s="1">
        <f>VLOOKUP(I5,all!$N$2:$O$156,2,FALSE)</f>
        <v>4</v>
      </c>
      <c r="K5" t="s">
        <v>406</v>
      </c>
      <c r="L5" s="1">
        <v>4</v>
      </c>
    </row>
    <row r="6" spans="1:12" x14ac:dyDescent="0.35">
      <c r="A6" s="5" t="s">
        <v>484</v>
      </c>
      <c r="B6" s="1" t="e" cm="1">
        <f t="array" aca="1" ref="B6:C6" ca="1">_xlfn.TEXTSPLIT(A6,",")</f>
        <v>#NAME?</v>
      </c>
      <c r="C6" s="1" t="e">
        <f ca="1"/>
        <v>#NAME?</v>
      </c>
      <c r="D6" s="1" t="e">
        <f t="shared" ca="1" si="0"/>
        <v>#NAME?</v>
      </c>
      <c r="E6" s="1" t="e">
        <f t="shared" ca="1" si="1"/>
        <v>#NAME?</v>
      </c>
      <c r="F6" s="1" t="e">
        <f t="shared" ca="1" si="2"/>
        <v>#NAME?</v>
      </c>
      <c r="G6" s="1" t="e">
        <f t="shared" ca="1" si="3"/>
        <v>#NAME?</v>
      </c>
      <c r="H6" s="1" t="str">
        <f t="shared" si="4"/>
        <v>flores, alejandra</v>
      </c>
      <c r="I6" s="1" t="s">
        <v>789</v>
      </c>
      <c r="J6" s="1">
        <f>VLOOKUP(I6,all!$N$2:$O$156,2,FALSE)</f>
        <v>5</v>
      </c>
      <c r="K6" t="s">
        <v>484</v>
      </c>
      <c r="L6" s="1">
        <v>5</v>
      </c>
    </row>
    <row r="7" spans="1:12" x14ac:dyDescent="0.35">
      <c r="A7" s="5" t="s">
        <v>422</v>
      </c>
      <c r="B7" s="1" t="e" cm="1">
        <f t="array" aca="1" ref="B7:C7" ca="1">_xlfn.TEXTSPLIT(A7,",")</f>
        <v>#NAME?</v>
      </c>
      <c r="C7" s="1" t="e">
        <f ca="1"/>
        <v>#NAME?</v>
      </c>
      <c r="D7" s="1" t="e">
        <f t="shared" ca="1" si="0"/>
        <v>#NAME?</v>
      </c>
      <c r="E7" s="1" t="e">
        <f t="shared" ca="1" si="1"/>
        <v>#NAME?</v>
      </c>
      <c r="F7" s="1" t="e">
        <f t="shared" ca="1" si="2"/>
        <v>#NAME?</v>
      </c>
      <c r="G7" s="1" t="e">
        <f t="shared" ca="1" si="3"/>
        <v>#NAME?</v>
      </c>
      <c r="H7" s="1" t="str">
        <f t="shared" si="4"/>
        <v>pérez, alejandra</v>
      </c>
      <c r="I7" s="1" t="s">
        <v>790</v>
      </c>
      <c r="J7" s="1">
        <f>VLOOKUP(I7,all!$N$2:$O$156,2,FALSE)</f>
        <v>6</v>
      </c>
      <c r="K7" t="s">
        <v>422</v>
      </c>
      <c r="L7" s="1">
        <v>6</v>
      </c>
    </row>
    <row r="8" spans="1:12" x14ac:dyDescent="0.35">
      <c r="A8" s="5" t="s">
        <v>508</v>
      </c>
      <c r="B8" s="1" t="e" cm="1">
        <f t="array" aca="1" ref="B8:C8" ca="1">_xlfn.TEXTSPLIT(A8,",")</f>
        <v>#NAME?</v>
      </c>
      <c r="C8" s="1" t="e">
        <f ca="1"/>
        <v>#NAME?</v>
      </c>
      <c r="D8" s="1" t="e">
        <f t="shared" ca="1" si="0"/>
        <v>#NAME?</v>
      </c>
      <c r="E8" s="1" t="e">
        <f t="shared" ca="1" si="1"/>
        <v>#NAME?</v>
      </c>
      <c r="F8" s="1" t="e">
        <f t="shared" ca="1" si="2"/>
        <v>#NAME?</v>
      </c>
      <c r="G8" s="1" t="e">
        <f t="shared" ca="1" si="3"/>
        <v>#NAME?</v>
      </c>
      <c r="H8" s="1" t="str">
        <f t="shared" si="4"/>
        <v>caiguan, alexis</v>
      </c>
      <c r="I8" s="1" t="s">
        <v>791</v>
      </c>
      <c r="J8" s="1">
        <f>VLOOKUP(I8,all!$N$2:$O$156,2,FALSE)</f>
        <v>7</v>
      </c>
      <c r="K8" t="s">
        <v>508</v>
      </c>
      <c r="L8" s="1">
        <v>7</v>
      </c>
    </row>
    <row r="9" spans="1:12" x14ac:dyDescent="0.35">
      <c r="A9" s="5" t="s">
        <v>436</v>
      </c>
      <c r="B9" s="1" t="e" cm="1">
        <f t="array" aca="1" ref="B9:C9" ca="1">_xlfn.TEXTSPLIT(A9,",")</f>
        <v>#NAME?</v>
      </c>
      <c r="C9" s="1" t="e">
        <f ca="1"/>
        <v>#NAME?</v>
      </c>
      <c r="D9" s="1" t="e">
        <f t="shared" ca="1" si="0"/>
        <v>#NAME?</v>
      </c>
      <c r="E9" s="1" t="e">
        <f t="shared" ca="1" si="1"/>
        <v>#NAME?</v>
      </c>
      <c r="F9" s="1" t="e">
        <f t="shared" ca="1" si="2"/>
        <v>#NAME?</v>
      </c>
      <c r="G9" s="1" t="e">
        <f t="shared" ca="1" si="3"/>
        <v>#NAME?</v>
      </c>
      <c r="H9" s="1" t="str">
        <f t="shared" si="4"/>
        <v>moreno, alfredo</v>
      </c>
      <c r="I9" s="1" t="s">
        <v>792</v>
      </c>
      <c r="J9" s="1">
        <f>VLOOKUP(I9,all!$N$2:$O$156,2,FALSE)</f>
        <v>8</v>
      </c>
      <c r="K9" t="s">
        <v>436</v>
      </c>
      <c r="L9" s="1">
        <v>8</v>
      </c>
    </row>
    <row r="10" spans="1:12" x14ac:dyDescent="0.35">
      <c r="A10" s="5" t="s">
        <v>504</v>
      </c>
      <c r="B10" s="1" t="e" cm="1">
        <f t="array" aca="1" ref="B10:C10" ca="1">_xlfn.TEXTSPLIT(A10,",")</f>
        <v>#NAME?</v>
      </c>
      <c r="C10" s="1" t="e">
        <f ca="1"/>
        <v>#NAME?</v>
      </c>
      <c r="D10" s="1" t="e">
        <f t="shared" ca="1" si="0"/>
        <v>#NAME?</v>
      </c>
      <c r="E10" s="1" t="e">
        <f t="shared" ca="1" si="1"/>
        <v>#NAME?</v>
      </c>
      <c r="F10" s="1" t="e">
        <f t="shared" ca="1" si="2"/>
        <v>#NAME?</v>
      </c>
      <c r="G10" s="1" t="e">
        <f t="shared" ca="1" si="3"/>
        <v>#NAME?</v>
      </c>
      <c r="H10" s="1" t="str">
        <f t="shared" si="4"/>
        <v>carrillo, alondra</v>
      </c>
      <c r="I10" s="1" t="s">
        <v>793</v>
      </c>
      <c r="J10" s="1">
        <f>VLOOKUP(I10,all!$N$2:$O$156,2,FALSE)</f>
        <v>9</v>
      </c>
      <c r="K10" t="s">
        <v>504</v>
      </c>
      <c r="L10" s="1">
        <v>9</v>
      </c>
    </row>
    <row r="11" spans="1:12" x14ac:dyDescent="0.35">
      <c r="A11" s="5" t="s">
        <v>462</v>
      </c>
      <c r="B11" s="1" t="e" cm="1">
        <f t="array" aca="1" ref="B11:C11" ca="1">_xlfn.TEXTSPLIT(A11,",")</f>
        <v>#NAME?</v>
      </c>
      <c r="C11" s="1" t="e">
        <f ca="1"/>
        <v>#NAME?</v>
      </c>
      <c r="D11" s="1" t="e">
        <f t="shared" ca="1" si="0"/>
        <v>#NAME?</v>
      </c>
      <c r="E11" s="1" t="e">
        <f t="shared" ca="1" si="1"/>
        <v>#NAME?</v>
      </c>
      <c r="F11" s="1" t="e">
        <f t="shared" ca="1" si="2"/>
        <v>#NAME?</v>
      </c>
      <c r="G11" s="1" t="e">
        <f t="shared" ca="1" si="3"/>
        <v>#NAME?</v>
      </c>
      <c r="H11" s="1" t="str">
        <f t="shared" si="4"/>
        <v>jofré, alvaro</v>
      </c>
      <c r="I11" s="1" t="s">
        <v>794</v>
      </c>
      <c r="J11" s="1">
        <f>VLOOKUP(I11,all!$N$2:$O$156,2,FALSE)</f>
        <v>10</v>
      </c>
      <c r="K11" t="s">
        <v>462</v>
      </c>
      <c r="L11" s="1">
        <v>10</v>
      </c>
    </row>
    <row r="12" spans="1:12" x14ac:dyDescent="0.35">
      <c r="A12" s="5" t="s">
        <v>414</v>
      </c>
      <c r="B12" s="1" t="e" cm="1">
        <f t="array" aca="1" ref="B12:C12" ca="1">_xlfn.TEXTSPLIT(A12,",")</f>
        <v>#NAME?</v>
      </c>
      <c r="C12" s="1" t="e">
        <f ca="1"/>
        <v>#NAME?</v>
      </c>
      <c r="D12" s="1" t="e">
        <f t="shared" ca="1" si="0"/>
        <v>#NAME?</v>
      </c>
      <c r="E12" s="1" t="e">
        <f t="shared" ca="1" si="1"/>
        <v>#NAME?</v>
      </c>
      <c r="F12" s="1" t="e">
        <f t="shared" ca="1" si="2"/>
        <v>#NAME?</v>
      </c>
      <c r="G12" s="1" t="e">
        <f t="shared" ca="1" si="3"/>
        <v>#NAME?</v>
      </c>
      <c r="H12" s="1" t="str">
        <f t="shared" si="4"/>
        <v>saldaña, alvin</v>
      </c>
      <c r="I12" s="1" t="s">
        <v>795</v>
      </c>
      <c r="J12" s="1">
        <f>VLOOKUP(I12,all!$N$2:$O$156,2,FALSE)</f>
        <v>11</v>
      </c>
      <c r="K12" t="s">
        <v>414</v>
      </c>
      <c r="L12" s="1">
        <v>11</v>
      </c>
    </row>
    <row r="13" spans="1:12" x14ac:dyDescent="0.35">
      <c r="A13" s="5" t="s">
        <v>527</v>
      </c>
      <c r="B13" s="1" t="e" cm="1">
        <f t="array" aca="1" ref="B13:C13" ca="1">_xlfn.TEXTSPLIT(A13,",")</f>
        <v>#NAME?</v>
      </c>
      <c r="C13" s="1" t="e">
        <f ca="1"/>
        <v>#NAME?</v>
      </c>
      <c r="D13" s="1" t="e">
        <f t="shared" ca="1" si="0"/>
        <v>#NAME?</v>
      </c>
      <c r="E13" s="1" t="e">
        <f t="shared" ca="1" si="1"/>
        <v>#NAME?</v>
      </c>
      <c r="F13" s="1" t="e">
        <f t="shared" ca="1" si="2"/>
        <v>#NAME?</v>
      </c>
      <c r="G13" s="1" t="e">
        <f t="shared" ca="1" si="3"/>
        <v>#NAME?</v>
      </c>
      <c r="H13" s="1" t="str">
        <f t="shared" si="4"/>
        <v>alvez, amaya</v>
      </c>
      <c r="I13" s="1" t="s">
        <v>796</v>
      </c>
      <c r="J13" s="1">
        <f>VLOOKUP(I13,all!$N$2:$O$156,2,FALSE)</f>
        <v>12</v>
      </c>
      <c r="K13" t="s">
        <v>527</v>
      </c>
      <c r="L13" s="1">
        <v>12</v>
      </c>
    </row>
    <row r="14" spans="1:12" x14ac:dyDescent="0.35">
      <c r="A14" s="5" t="s">
        <v>493</v>
      </c>
      <c r="B14" s="1" t="e" cm="1">
        <f t="array" aca="1" ref="B14:C14" ca="1">_xlfn.TEXTSPLIT(A14,",")</f>
        <v>#NAME?</v>
      </c>
      <c r="C14" s="1" t="e">
        <f ca="1"/>
        <v>#NAME?</v>
      </c>
      <c r="D14" s="1" t="e">
        <f t="shared" ca="1" si="0"/>
        <v>#NAME?</v>
      </c>
      <c r="E14" s="1" t="e">
        <f t="shared" ca="1" si="1"/>
        <v>#NAME?</v>
      </c>
      <c r="F14" s="1" t="e">
        <f t="shared" ca="1" si="2"/>
        <v>#NAME?</v>
      </c>
      <c r="G14" s="1" t="e">
        <f t="shared" ca="1" si="3"/>
        <v>#NAME?</v>
      </c>
      <c r="H14" s="1" t="str">
        <f t="shared" si="4"/>
        <v>cruz, andrés</v>
      </c>
      <c r="I14" s="1" t="s">
        <v>797</v>
      </c>
      <c r="J14" s="1">
        <f>VLOOKUP(I14,all!$N$2:$O$156,2,FALSE)</f>
        <v>13</v>
      </c>
      <c r="K14" t="s">
        <v>493</v>
      </c>
      <c r="L14" s="1">
        <v>13</v>
      </c>
    </row>
    <row r="15" spans="1:12" x14ac:dyDescent="0.35">
      <c r="A15" s="5" t="s">
        <v>488</v>
      </c>
      <c r="B15" s="1" t="e" cm="1">
        <f t="array" aca="1" ref="B15:C15" ca="1">_xlfn.TEXTSPLIT(A15,",")</f>
        <v>#NAME?</v>
      </c>
      <c r="C15" s="1" t="e">
        <f ca="1"/>
        <v>#NAME?</v>
      </c>
      <c r="D15" s="1" t="e">
        <f t="shared" ca="1" si="0"/>
        <v>#NAME?</v>
      </c>
      <c r="E15" s="1" t="e">
        <f t="shared" ca="1" si="1"/>
        <v>#NAME?</v>
      </c>
      <c r="F15" s="1" t="e">
        <f t="shared" ca="1" si="2"/>
        <v>#NAME?</v>
      </c>
      <c r="G15" s="1" t="e">
        <f t="shared" ca="1" si="3"/>
        <v>#NAME?</v>
      </c>
      <c r="H15" s="1" t="str">
        <f t="shared" si="4"/>
        <v>delgado, aurora</v>
      </c>
      <c r="I15" s="1" t="s">
        <v>798</v>
      </c>
      <c r="J15" s="1">
        <f>VLOOKUP(I15,all!$N$2:$O$156,2,FALSE)</f>
        <v>14</v>
      </c>
      <c r="K15" t="s">
        <v>488</v>
      </c>
      <c r="L15" s="1">
        <v>14</v>
      </c>
    </row>
    <row r="16" spans="1:12" x14ac:dyDescent="0.35">
      <c r="A16" s="5" t="s">
        <v>420</v>
      </c>
      <c r="B16" s="1" t="e" cm="1">
        <f t="array" aca="1" ref="B16:C16" ca="1">_xlfn.TEXTSPLIT(A16,",")</f>
        <v>#NAME?</v>
      </c>
      <c r="C16" s="1" t="e">
        <f ca="1"/>
        <v>#NAME?</v>
      </c>
      <c r="D16" s="1" t="e">
        <f t="shared" ca="1" si="0"/>
        <v>#NAME?</v>
      </c>
      <c r="E16" s="1" t="e">
        <f t="shared" ca="1" si="1"/>
        <v>#NAME?</v>
      </c>
      <c r="F16" s="1" t="e">
        <f t="shared" ca="1" si="2"/>
        <v>#NAME?</v>
      </c>
      <c r="G16" s="1" t="e">
        <f t="shared" ca="1" si="3"/>
        <v>#NAME?</v>
      </c>
      <c r="H16" s="1" t="str">
        <f t="shared" si="4"/>
        <v>rebolledo, bárbara</v>
      </c>
      <c r="I16" s="1" t="s">
        <v>799</v>
      </c>
      <c r="J16" s="1">
        <f>VLOOKUP(I16,all!$N$2:$O$156,2,FALSE)</f>
        <v>15</v>
      </c>
      <c r="K16" t="s">
        <v>420</v>
      </c>
      <c r="L16" s="1">
        <v>15</v>
      </c>
    </row>
    <row r="17" spans="1:12" x14ac:dyDescent="0.35">
      <c r="A17" s="5" t="s">
        <v>410</v>
      </c>
      <c r="B17" s="1" t="e" cm="1">
        <f t="array" aca="1" ref="B17:C17" ca="1">_xlfn.TEXTSPLIT(A17,",")</f>
        <v>#NAME?</v>
      </c>
      <c r="C17" s="1" t="e">
        <f ca="1"/>
        <v>#NAME?</v>
      </c>
      <c r="D17" s="1" t="e">
        <f t="shared" ca="1" si="0"/>
        <v>#NAME?</v>
      </c>
      <c r="E17" s="1" t="e">
        <f t="shared" ca="1" si="1"/>
        <v>#NAME?</v>
      </c>
      <c r="F17" s="1" t="e">
        <f t="shared" ca="1" si="2"/>
        <v>#NAME?</v>
      </c>
      <c r="G17" s="1" t="e">
        <f t="shared" ca="1" si="3"/>
        <v>#NAME?</v>
      </c>
      <c r="H17" s="1" t="str">
        <f t="shared" si="4"/>
        <v>sepúlveda, bárbara</v>
      </c>
      <c r="I17" s="1" t="s">
        <v>800</v>
      </c>
      <c r="J17" s="1">
        <f>VLOOKUP(I17,all!$N$2:$O$156,2,FALSE)</f>
        <v>16</v>
      </c>
      <c r="K17" t="s">
        <v>410</v>
      </c>
      <c r="L17" s="1">
        <v>16</v>
      </c>
    </row>
    <row r="18" spans="1:12" x14ac:dyDescent="0.35">
      <c r="A18" s="5" t="s">
        <v>460</v>
      </c>
      <c r="B18" s="1" t="e" cm="1">
        <f t="array" aca="1" ref="B18:C18" ca="1">_xlfn.TEXTSPLIT(A18,",")</f>
        <v>#NAME?</v>
      </c>
      <c r="C18" s="1" t="e">
        <f ca="1"/>
        <v>#NAME?</v>
      </c>
      <c r="D18" s="1" t="e">
        <f t="shared" ca="1" si="0"/>
        <v>#NAME?</v>
      </c>
      <c r="E18" s="1" t="e">
        <f t="shared" ca="1" si="1"/>
        <v>#NAME?</v>
      </c>
      <c r="F18" s="1" t="e">
        <f t="shared" ca="1" si="2"/>
        <v>#NAME?</v>
      </c>
      <c r="G18" s="1" t="e">
        <f t="shared" ca="1" si="3"/>
        <v>#NAME?</v>
      </c>
      <c r="H18" s="1" t="str">
        <f t="shared" si="4"/>
        <v>labbé, bastián</v>
      </c>
      <c r="I18" s="1" t="s">
        <v>801</v>
      </c>
      <c r="J18" s="1">
        <f>VLOOKUP(I18,all!$N$2:$O$156,2,FALSE)</f>
        <v>17</v>
      </c>
      <c r="K18" t="s">
        <v>460</v>
      </c>
      <c r="L18" s="1">
        <v>17</v>
      </c>
    </row>
    <row r="19" spans="1:12" x14ac:dyDescent="0.35">
      <c r="A19" s="5" t="s">
        <v>404</v>
      </c>
      <c r="B19" s="1" t="e" cm="1">
        <f t="array" aca="1" ref="B19:C19" ca="1">_xlfn.TEXTSPLIT(A19,",")</f>
        <v>#NAME?</v>
      </c>
      <c r="C19" s="1" t="e">
        <f ca="1"/>
        <v>#NAME?</v>
      </c>
      <c r="D19" s="1" t="e">
        <f t="shared" ca="1" si="0"/>
        <v>#NAME?</v>
      </c>
      <c r="E19" s="1" t="e">
        <f t="shared" ca="1" si="1"/>
        <v>#NAME?</v>
      </c>
      <c r="F19" s="1" t="e">
        <f t="shared" ca="1" si="2"/>
        <v>#NAME?</v>
      </c>
      <c r="G19" s="1" t="e">
        <f t="shared" ca="1" si="3"/>
        <v>#NAME?</v>
      </c>
      <c r="H19" s="1" t="str">
        <f t="shared" si="4"/>
        <v>sánchez, beatriz</v>
      </c>
      <c r="I19" s="1" t="s">
        <v>802</v>
      </c>
      <c r="J19" s="1">
        <f>VLOOKUP(I19,all!$N$2:$O$156,2,FALSE)</f>
        <v>18</v>
      </c>
      <c r="K19" t="s">
        <v>404</v>
      </c>
      <c r="L19" s="1">
        <v>18</v>
      </c>
    </row>
    <row r="20" spans="1:12" x14ac:dyDescent="0.35">
      <c r="A20" s="5" t="s">
        <v>516</v>
      </c>
      <c r="B20" s="1" t="e" cm="1">
        <f t="array" aca="1" ref="B20:C20" ca="1">_xlfn.TEXTSPLIT(A20,",")</f>
        <v>#NAME?</v>
      </c>
      <c r="C20" s="1" t="e">
        <f ca="1"/>
        <v>#NAME?</v>
      </c>
      <c r="D20" s="1" t="e">
        <f t="shared" ca="1" si="0"/>
        <v>#NAME?</v>
      </c>
      <c r="E20" s="1" t="e">
        <f t="shared" ca="1" si="1"/>
        <v>#NAME?</v>
      </c>
      <c r="F20" s="1" t="e">
        <f t="shared" ca="1" si="2"/>
        <v>#NAME?</v>
      </c>
      <c r="G20" s="1" t="e">
        <f t="shared" ca="1" si="3"/>
        <v>#NAME?</v>
      </c>
      <c r="H20" s="1" t="str">
        <f t="shared" si="4"/>
        <v>baranda, benito</v>
      </c>
      <c r="I20" s="1" t="s">
        <v>803</v>
      </c>
      <c r="J20" s="1">
        <f>VLOOKUP(I20,all!$N$2:$O$156,2,FALSE)</f>
        <v>19</v>
      </c>
      <c r="K20" t="s">
        <v>516</v>
      </c>
      <c r="L20" s="1">
        <v>19</v>
      </c>
    </row>
    <row r="21" spans="1:12" x14ac:dyDescent="0.35">
      <c r="A21" s="5" t="s">
        <v>489</v>
      </c>
      <c r="B21" s="1" t="e" cm="1">
        <f t="array" aca="1" ref="B21:C21" ca="1">_xlfn.TEXTSPLIT(A21,",")</f>
        <v>#NAME?</v>
      </c>
      <c r="C21" s="1" t="e">
        <f ca="1"/>
        <v>#NAME?</v>
      </c>
      <c r="D21" s="1" t="e">
        <f t="shared" ca="1" si="0"/>
        <v>#NAME?</v>
      </c>
      <c r="E21" s="1" t="e">
        <f t="shared" ca="1" si="1"/>
        <v>#NAME?</v>
      </c>
      <c r="F21" s="1" t="e">
        <f t="shared" ca="1" si="2"/>
        <v>#NAME?</v>
      </c>
      <c r="G21" s="1" t="e">
        <f t="shared" ca="1" si="3"/>
        <v>#NAME?</v>
      </c>
      <c r="H21" s="1" t="str">
        <f t="shared" si="4"/>
        <v>de la maza, bernardo</v>
      </c>
      <c r="I21" s="1" t="s">
        <v>804</v>
      </c>
      <c r="J21" s="1">
        <f>VLOOKUP(I21,all!$N$2:$O$156,2,FALSE)</f>
        <v>20</v>
      </c>
      <c r="K21" t="s">
        <v>489</v>
      </c>
      <c r="L21" s="1">
        <v>20</v>
      </c>
    </row>
    <row r="22" spans="1:12" x14ac:dyDescent="0.35">
      <c r="A22" s="5" t="s">
        <v>483</v>
      </c>
      <c r="B22" s="1" t="e" cm="1">
        <f t="array" aca="1" ref="B22:C22" ca="1">_xlfn.TEXTSPLIT(A22,",")</f>
        <v>#NAME?</v>
      </c>
      <c r="C22" s="1" t="e">
        <f ca="1"/>
        <v>#NAME?</v>
      </c>
      <c r="D22" s="1" t="e">
        <f t="shared" ca="1" si="0"/>
        <v>#NAME?</v>
      </c>
      <c r="E22" s="1" t="e">
        <f t="shared" ca="1" si="1"/>
        <v>#NAME?</v>
      </c>
      <c r="F22" s="1" t="e">
        <f t="shared" ca="1" si="2"/>
        <v>#NAME?</v>
      </c>
      <c r="G22" s="1" t="e">
        <f t="shared" ca="1" si="3"/>
        <v>#NAME?</v>
      </c>
      <c r="H22" s="1" t="str">
        <f t="shared" si="4"/>
        <v>fontaine, bernardo</v>
      </c>
      <c r="I22" s="1" t="s">
        <v>805</v>
      </c>
      <c r="J22" s="1">
        <f>VLOOKUP(I22,all!$N$2:$O$156,2,FALSE)</f>
        <v>21</v>
      </c>
      <c r="K22" t="s">
        <v>483</v>
      </c>
      <c r="L22" s="1">
        <v>21</v>
      </c>
    </row>
    <row r="23" spans="1:12" x14ac:dyDescent="0.35">
      <c r="A23" s="5" t="s">
        <v>481</v>
      </c>
      <c r="B23" s="1" t="e" cm="1">
        <f t="array" aca="1" ref="B23:C23" ca="1">_xlfn.TEXTSPLIT(A23,",")</f>
        <v>#NAME?</v>
      </c>
      <c r="C23" s="1" t="e">
        <f ca="1"/>
        <v>#NAME?</v>
      </c>
      <c r="D23" s="1" t="e">
        <f t="shared" ca="1" si="0"/>
        <v>#NAME?</v>
      </c>
      <c r="E23" s="1" t="e">
        <f t="shared" ca="1" si="1"/>
        <v>#NAME?</v>
      </c>
      <c r="F23" s="1" t="e">
        <f t="shared" ca="1" si="2"/>
        <v>#NAME?</v>
      </c>
      <c r="G23" s="1" t="e">
        <f t="shared" ca="1" si="3"/>
        <v>#NAME?</v>
      </c>
      <c r="H23" s="1" t="str">
        <f t="shared" si="4"/>
        <v>gallardo, bessy</v>
      </c>
      <c r="I23" s="1" t="s">
        <v>806</v>
      </c>
      <c r="J23" s="1">
        <f>VLOOKUP(I23,all!$N$2:$O$156,2,FALSE)</f>
        <v>22</v>
      </c>
      <c r="K23" t="s">
        <v>481</v>
      </c>
      <c r="L23" s="1">
        <v>22</v>
      </c>
    </row>
    <row r="24" spans="1:12" x14ac:dyDescent="0.35">
      <c r="A24" s="5" t="s">
        <v>382</v>
      </c>
      <c r="B24" s="1" t="e" cm="1">
        <f t="array" aca="1" ref="B24:C24" ca="1">_xlfn.TEXTSPLIT(A24,",")</f>
        <v>#NAME?</v>
      </c>
      <c r="C24" s="1" t="e">
        <f ca="1"/>
        <v>#NAME?</v>
      </c>
      <c r="D24" s="1" t="e">
        <f t="shared" ca="1" si="0"/>
        <v>#NAME?</v>
      </c>
      <c r="E24" s="1" t="e">
        <f t="shared" ca="1" si="1"/>
        <v>#NAME?</v>
      </c>
      <c r="F24" s="1" t="e">
        <f t="shared" ca="1" si="2"/>
        <v>#NAME?</v>
      </c>
      <c r="G24" s="1" t="e">
        <f t="shared" ca="1" si="3"/>
        <v>#NAME?</v>
      </c>
      <c r="H24" s="1" t="str">
        <f t="shared" si="4"/>
        <v>zárate, camila</v>
      </c>
      <c r="I24" s="1" t="s">
        <v>807</v>
      </c>
      <c r="J24" s="1">
        <f>VLOOKUP(I24,all!$N$2:$O$156,2,FALSE)</f>
        <v>23</v>
      </c>
      <c r="K24" t="s">
        <v>382</v>
      </c>
      <c r="L24" s="1">
        <v>23</v>
      </c>
    </row>
    <row r="25" spans="1:12" x14ac:dyDescent="0.35">
      <c r="A25" s="5" t="s">
        <v>507</v>
      </c>
      <c r="B25" s="1" t="e" cm="1">
        <f t="array" aca="1" ref="B25:C25" ca="1">_xlfn.TEXTSPLIT(A25,",")</f>
        <v>#NAME?</v>
      </c>
      <c r="C25" s="1" t="e">
        <f ca="1"/>
        <v>#NAME?</v>
      </c>
      <c r="D25" s="1" t="e">
        <f t="shared" ca="1" si="0"/>
        <v>#NAME?</v>
      </c>
      <c r="E25" s="1" t="e">
        <f t="shared" ca="1" si="1"/>
        <v>#NAME?</v>
      </c>
      <c r="F25" s="1" t="e">
        <f t="shared" ca="1" si="2"/>
        <v>#NAME?</v>
      </c>
      <c r="G25" s="1" t="e">
        <f t="shared" ca="1" si="3"/>
        <v>#NAME?</v>
      </c>
      <c r="H25" s="1" t="str">
        <f t="shared" si="4"/>
        <v>calvo, carlos</v>
      </c>
      <c r="I25" s="1" t="s">
        <v>808</v>
      </c>
      <c r="J25" s="1">
        <f>VLOOKUP(I25,all!$N$2:$O$156,2,FALSE)</f>
        <v>24</v>
      </c>
      <c r="K25" t="s">
        <v>507</v>
      </c>
      <c r="L25" s="1">
        <v>24</v>
      </c>
    </row>
    <row r="26" spans="1:12" x14ac:dyDescent="0.35">
      <c r="A26" s="5" t="s">
        <v>520</v>
      </c>
      <c r="B26" s="1" t="e" cm="1">
        <f t="array" aca="1" ref="B26:C26" ca="1">_xlfn.TEXTSPLIT(A26,",")</f>
        <v>#NAME?</v>
      </c>
      <c r="C26" s="1" t="e">
        <f ca="1"/>
        <v>#NAME?</v>
      </c>
      <c r="D26" s="1" t="e">
        <f t="shared" ca="1" si="0"/>
        <v>#NAME?</v>
      </c>
      <c r="E26" s="1" t="e">
        <f t="shared" ca="1" si="1"/>
        <v>#NAME?</v>
      </c>
      <c r="F26" s="1" t="e">
        <f t="shared" ca="1" si="2"/>
        <v>#NAME?</v>
      </c>
      <c r="G26" s="1" t="e">
        <f t="shared" ca="1" si="3"/>
        <v>#NAME?</v>
      </c>
      <c r="H26" s="1" t="str">
        <f t="shared" si="4"/>
        <v>arrau, martín</v>
      </c>
      <c r="I26" s="1" t="s">
        <v>809</v>
      </c>
      <c r="J26" s="1">
        <f>VLOOKUP(I26,all!$N$2:$O$156,2,FALSE)</f>
        <v>25</v>
      </c>
      <c r="K26" t="s">
        <v>520</v>
      </c>
      <c r="L26" s="1">
        <v>25</v>
      </c>
    </row>
    <row r="27" spans="1:12" x14ac:dyDescent="0.35">
      <c r="A27" s="5" t="s">
        <v>511</v>
      </c>
      <c r="B27" s="1" t="e" cm="1">
        <f t="array" aca="1" ref="B27:C27" ca="1">_xlfn.TEXTSPLIT(A27,",")</f>
        <v>#NAME?</v>
      </c>
      <c r="C27" s="1" t="e">
        <f ca="1"/>
        <v>#NAME?</v>
      </c>
      <c r="D27" s="1" t="e">
        <f t="shared" ca="1" si="0"/>
        <v>#NAME?</v>
      </c>
      <c r="E27" s="1" t="e">
        <f t="shared" ca="1" si="1"/>
        <v>#NAME?</v>
      </c>
      <c r="F27" s="1" t="e">
        <f t="shared" ca="1" si="2"/>
        <v>#NAME?</v>
      </c>
      <c r="G27" s="1" t="e">
        <f t="shared" ca="1" si="3"/>
        <v>#NAME?</v>
      </c>
      <c r="H27" s="1" t="str">
        <f t="shared" si="4"/>
        <v>bown, carol</v>
      </c>
      <c r="I27" s="1" t="s">
        <v>810</v>
      </c>
      <c r="J27" s="1">
        <f>VLOOKUP(I27,all!$N$2:$O$156,2,FALSE)</f>
        <v>26</v>
      </c>
      <c r="K27" t="s">
        <v>511</v>
      </c>
      <c r="L27" s="1">
        <v>26</v>
      </c>
    </row>
    <row r="28" spans="1:12" x14ac:dyDescent="0.35">
      <c r="A28" s="5" t="s">
        <v>409</v>
      </c>
      <c r="B28" s="1" t="e" cm="1">
        <f t="array" aca="1" ref="B28:C28" ca="1">_xlfn.TEXTSPLIT(A28,",")</f>
        <v>#NAME?</v>
      </c>
      <c r="C28" s="1" t="e">
        <f ca="1"/>
        <v>#NAME?</v>
      </c>
      <c r="D28" s="1" t="e">
        <f t="shared" ca="1" si="0"/>
        <v>#NAME?</v>
      </c>
      <c r="E28" s="1" t="e">
        <f t="shared" ca="1" si="1"/>
        <v>#NAME?</v>
      </c>
      <c r="F28" s="1" t="e">
        <f t="shared" ca="1" si="2"/>
        <v>#NAME?</v>
      </c>
      <c r="G28" s="1" t="e">
        <f t="shared" ca="1" si="3"/>
        <v>#NAME?</v>
      </c>
      <c r="H28" s="1" t="str">
        <f t="shared" si="4"/>
        <v>sepúlveda, carolina</v>
      </c>
      <c r="I28" s="1" t="s">
        <v>811</v>
      </c>
      <c r="J28" s="1">
        <f>VLOOKUP(I28,all!$N$2:$O$156,2,FALSE)</f>
        <v>27</v>
      </c>
      <c r="K28" t="s">
        <v>409</v>
      </c>
      <c r="L28" s="1">
        <v>27</v>
      </c>
    </row>
    <row r="29" spans="1:12" x14ac:dyDescent="0.35">
      <c r="A29" s="5" t="s">
        <v>385</v>
      </c>
      <c r="B29" s="1" t="e" cm="1">
        <f t="array" aca="1" ref="B29:C29" ca="1">_xlfn.TEXTSPLIT(A29,",")</f>
        <v>#NAME?</v>
      </c>
      <c r="C29" s="1" t="e">
        <f ca="1"/>
        <v>#NAME?</v>
      </c>
      <c r="D29" s="1" t="e">
        <f t="shared" ca="1" si="0"/>
        <v>#NAME?</v>
      </c>
      <c r="E29" s="1" t="e">
        <f t="shared" ca="1" si="1"/>
        <v>#NAME?</v>
      </c>
      <c r="F29" s="1" t="e">
        <f t="shared" ca="1" si="2"/>
        <v>#NAME?</v>
      </c>
      <c r="G29" s="1" t="e">
        <f t="shared" ca="1" si="3"/>
        <v>#NAME?</v>
      </c>
      <c r="H29" s="1" t="str">
        <f t="shared" si="4"/>
        <v>vilches, carolina</v>
      </c>
      <c r="I29" s="1" t="s">
        <v>812</v>
      </c>
      <c r="J29" s="1">
        <f>VLOOKUP(I29,all!$N$2:$O$156,2,FALSE)</f>
        <v>28</v>
      </c>
      <c r="K29" t="s">
        <v>385</v>
      </c>
      <c r="L29" s="1">
        <v>28</v>
      </c>
    </row>
    <row r="30" spans="1:12" x14ac:dyDescent="0.35">
      <c r="A30" s="5" t="s">
        <v>387</v>
      </c>
      <c r="B30" s="1" t="e" cm="1">
        <f t="array" aca="1" ref="B30:C30" ca="1">_xlfn.TEXTSPLIT(A30,",")</f>
        <v>#NAME?</v>
      </c>
      <c r="C30" s="1" t="e">
        <f ca="1"/>
        <v>#NAME?</v>
      </c>
      <c r="D30" s="1" t="e">
        <f t="shared" ca="1" si="0"/>
        <v>#NAME?</v>
      </c>
      <c r="E30" s="1" t="e">
        <f t="shared" ca="1" si="1"/>
        <v>#NAME?</v>
      </c>
      <c r="F30" s="1" t="e">
        <f t="shared" ca="1" si="2"/>
        <v>#NAME?</v>
      </c>
      <c r="G30" s="1" t="e">
        <f t="shared" ca="1" si="3"/>
        <v>#NAME?</v>
      </c>
      <c r="H30" s="1" t="str">
        <f t="shared" si="4"/>
        <v>videla, carolina</v>
      </c>
      <c r="I30" s="1" t="s">
        <v>813</v>
      </c>
      <c r="J30" s="1">
        <f>VLOOKUP(I30,all!$N$2:$O$156,2,FALSE)</f>
        <v>29</v>
      </c>
      <c r="K30" t="s">
        <v>387</v>
      </c>
      <c r="L30" s="1">
        <v>29</v>
      </c>
    </row>
    <row r="31" spans="1:12" x14ac:dyDescent="0.35">
      <c r="A31" s="5" t="s">
        <v>397</v>
      </c>
      <c r="B31" s="1" t="e" cm="1">
        <f t="array" aca="1" ref="B31:C31" ca="1">_xlfn.TEXTSPLIT(A31,",")</f>
        <v>#NAME?</v>
      </c>
      <c r="C31" s="1" t="e">
        <f ca="1"/>
        <v>#NAME?</v>
      </c>
      <c r="D31" s="1" t="e">
        <f t="shared" ca="1" si="0"/>
        <v>#NAME?</v>
      </c>
      <c r="E31" s="1" t="e">
        <f t="shared" ca="1" si="1"/>
        <v>#NAME?</v>
      </c>
      <c r="F31" s="1" t="e">
        <f t="shared" ca="1" si="2"/>
        <v>#NAME?</v>
      </c>
      <c r="G31" s="1" t="e">
        <f t="shared" ca="1" si="3"/>
        <v>#NAME?</v>
      </c>
      <c r="H31" s="1" t="str">
        <f t="shared" si="4"/>
        <v>valenzuela, césar</v>
      </c>
      <c r="I31" s="1" t="s">
        <v>814</v>
      </c>
      <c r="J31" s="1">
        <f>VLOOKUP(I31,all!$N$2:$O$156,2,FALSE)</f>
        <v>30</v>
      </c>
      <c r="K31" t="s">
        <v>397</v>
      </c>
      <c r="L31" s="1">
        <v>30</v>
      </c>
    </row>
    <row r="32" spans="1:12" x14ac:dyDescent="0.35">
      <c r="A32" s="5" t="s">
        <v>399</v>
      </c>
      <c r="B32" s="1" t="e" cm="1">
        <f t="array" aca="1" ref="B32:C32" ca="1">_xlfn.TEXTSPLIT(A32,",")</f>
        <v>#NAME?</v>
      </c>
      <c r="C32" s="1" t="e">
        <f ca="1"/>
        <v>#NAME?</v>
      </c>
      <c r="D32" s="1" t="e">
        <f t="shared" ca="1" si="0"/>
        <v>#NAME?</v>
      </c>
      <c r="E32" s="1" t="e">
        <f t="shared" ca="1" si="1"/>
        <v>#NAME?</v>
      </c>
      <c r="F32" s="1" t="e">
        <f t="shared" ca="1" si="2"/>
        <v>#NAME?</v>
      </c>
      <c r="G32" s="1" t="e">
        <f t="shared" ca="1" si="3"/>
        <v>#NAME?</v>
      </c>
      <c r="H32" s="1" t="str">
        <f t="shared" si="4"/>
        <v>uribe, césar</v>
      </c>
      <c r="I32" s="1" t="s">
        <v>815</v>
      </c>
      <c r="J32" s="1">
        <f>VLOOKUP(I32,all!$N$2:$O$156,2,FALSE)</f>
        <v>31</v>
      </c>
      <c r="K32" t="s">
        <v>399</v>
      </c>
      <c r="L32" s="1">
        <v>31</v>
      </c>
    </row>
    <row r="33" spans="1:12" x14ac:dyDescent="0.35">
      <c r="A33" s="5" t="s">
        <v>386</v>
      </c>
      <c r="B33" s="1" t="e" cm="1">
        <f t="array" aca="1" ref="B33:C33" ca="1">_xlfn.TEXTSPLIT(A33,",")</f>
        <v>#NAME?</v>
      </c>
      <c r="C33" s="1" t="e">
        <f ca="1"/>
        <v>#NAME?</v>
      </c>
      <c r="D33" s="1" t="e">
        <f t="shared" ca="1" si="0"/>
        <v>#NAME?</v>
      </c>
      <c r="E33" s="1" t="e">
        <f t="shared" ca="1" si="1"/>
        <v>#NAME?</v>
      </c>
      <c r="F33" s="1" t="e">
        <f t="shared" ca="1" si="2"/>
        <v>#NAME?</v>
      </c>
      <c r="G33" s="1" t="e">
        <f t="shared" ca="1" si="3"/>
        <v>#NAME?</v>
      </c>
      <c r="H33" s="1" t="str">
        <f t="shared" si="4"/>
        <v>viera, christian</v>
      </c>
      <c r="I33" s="1" t="s">
        <v>816</v>
      </c>
      <c r="J33" s="1">
        <f>VLOOKUP(I33,all!$N$2:$O$156,2,FALSE)</f>
        <v>32</v>
      </c>
      <c r="K33" t="s">
        <v>386</v>
      </c>
      <c r="L33" s="1">
        <v>32</v>
      </c>
    </row>
    <row r="34" spans="1:12" x14ac:dyDescent="0.35">
      <c r="A34" s="5" t="s">
        <v>501</v>
      </c>
      <c r="B34" s="1" t="e" cm="1">
        <f t="array" aca="1" ref="B34:C34" ca="1">_xlfn.TEXTSPLIT(A34,",")</f>
        <v>#NAME?</v>
      </c>
      <c r="C34" s="1" t="e">
        <f ca="1"/>
        <v>#NAME?</v>
      </c>
      <c r="D34" s="1" t="e">
        <f t="shared" ref="D34:D65" ca="1" si="5">TRIM(B34)</f>
        <v>#NAME?</v>
      </c>
      <c r="E34" s="1" t="e">
        <f t="shared" ref="E34:E65" ca="1" si="6">TRIM(C34)</f>
        <v>#NAME?</v>
      </c>
      <c r="F34" s="1" t="e">
        <f t="shared" ref="F34:F65" ca="1" si="7">LOWER(D34)</f>
        <v>#NAME?</v>
      </c>
      <c r="G34" s="1" t="e">
        <f t="shared" ref="G34:G65" ca="1" si="8">LOWER(E34)</f>
        <v>#NAME?</v>
      </c>
      <c r="H34" s="1" t="str">
        <f t="shared" ref="H34:H65" si="9">LOWER(A34)</f>
        <v>castro, claudia</v>
      </c>
      <c r="I34" s="1" t="s">
        <v>817</v>
      </c>
      <c r="J34" s="1">
        <f>VLOOKUP(I34,all!$N$2:$O$156,2,FALSE)</f>
        <v>33</v>
      </c>
      <c r="K34" t="s">
        <v>501</v>
      </c>
      <c r="L34" s="1">
        <v>33</v>
      </c>
    </row>
    <row r="35" spans="1:12" x14ac:dyDescent="0.35">
      <c r="A35" s="5" t="s">
        <v>455</v>
      </c>
      <c r="B35" s="1" t="e" cm="1">
        <f t="array" aca="1" ref="B35:C35" ca="1">_xlfn.TEXTSPLIT(A35,",")</f>
        <v>#NAME?</v>
      </c>
      <c r="C35" s="1" t="e">
        <f ca="1"/>
        <v>#NAME?</v>
      </c>
      <c r="D35" s="1" t="e">
        <f t="shared" ca="1" si="5"/>
        <v>#NAME?</v>
      </c>
      <c r="E35" s="1" t="e">
        <f t="shared" ca="1" si="6"/>
        <v>#NAME?</v>
      </c>
      <c r="F35" s="1" t="e">
        <f t="shared" ca="1" si="7"/>
        <v>#NAME?</v>
      </c>
      <c r="G35" s="1" t="e">
        <f t="shared" ca="1" si="8"/>
        <v>#NAME?</v>
      </c>
      <c r="H35" s="1" t="str">
        <f t="shared" si="9"/>
        <v>letelier, margarita</v>
      </c>
      <c r="I35" s="1" t="s">
        <v>818</v>
      </c>
      <c r="J35" s="1">
        <f>VLOOKUP(I35,all!$N$2:$O$156,2,FALSE)</f>
        <v>34</v>
      </c>
      <c r="K35" t="s">
        <v>455</v>
      </c>
      <c r="L35" s="1">
        <v>34</v>
      </c>
    </row>
    <row r="36" spans="1:12" x14ac:dyDescent="0.35">
      <c r="A36" s="5" t="s">
        <v>471</v>
      </c>
      <c r="B36" s="1" t="e" cm="1">
        <f t="array" aca="1" ref="B36:C36" ca="1">_xlfn.TEXTSPLIT(A36,",")</f>
        <v>#NAME?</v>
      </c>
      <c r="C36" s="1" t="e">
        <f ca="1"/>
        <v>#NAME?</v>
      </c>
      <c r="D36" s="1" t="e">
        <f t="shared" ca="1" si="5"/>
        <v>#NAME?</v>
      </c>
      <c r="E36" s="1" t="e">
        <f t="shared" ca="1" si="6"/>
        <v>#NAME?</v>
      </c>
      <c r="F36" s="1" t="e">
        <f t="shared" ca="1" si="7"/>
        <v>#NAME?</v>
      </c>
      <c r="G36" s="1" t="e">
        <f t="shared" ca="1" si="8"/>
        <v>#NAME?</v>
      </c>
      <c r="H36" s="1" t="str">
        <f t="shared" si="9"/>
        <v>gómez, claudio</v>
      </c>
      <c r="I36" s="1" t="s">
        <v>819</v>
      </c>
      <c r="J36" s="1">
        <f>VLOOKUP(I36,all!$N$2:$O$156,2,FALSE)</f>
        <v>35</v>
      </c>
      <c r="K36" t="s">
        <v>471</v>
      </c>
      <c r="L36" s="1">
        <v>35</v>
      </c>
    </row>
    <row r="37" spans="1:12" x14ac:dyDescent="0.35">
      <c r="A37" s="5" t="s">
        <v>412</v>
      </c>
      <c r="B37" s="1" t="e" cm="1">
        <f t="array" aca="1" ref="B37:C37" ca="1">_xlfn.TEXTSPLIT(A37,",")</f>
        <v>#NAME?</v>
      </c>
      <c r="C37" s="1" t="e">
        <f ca="1"/>
        <v>#NAME?</v>
      </c>
      <c r="D37" s="1" t="e">
        <f t="shared" ca="1" si="5"/>
        <v>#NAME?</v>
      </c>
      <c r="E37" s="1" t="e">
        <f t="shared" ca="1" si="6"/>
        <v>#NAME?</v>
      </c>
      <c r="F37" s="1" t="e">
        <f t="shared" ca="1" si="7"/>
        <v>#NAME?</v>
      </c>
      <c r="G37" s="1" t="e">
        <f t="shared" ca="1" si="8"/>
        <v>#NAME?</v>
      </c>
      <c r="H37" s="1" t="str">
        <f t="shared" si="9"/>
        <v>san juan, constanza</v>
      </c>
      <c r="I37" s="1" t="s">
        <v>820</v>
      </c>
      <c r="J37" s="1">
        <f>VLOOKUP(I37,all!$N$2:$O$156,2,FALSE)</f>
        <v>36</v>
      </c>
      <c r="K37" t="s">
        <v>412</v>
      </c>
      <c r="L37" s="1">
        <v>36</v>
      </c>
    </row>
    <row r="38" spans="1:12" x14ac:dyDescent="0.35">
      <c r="A38" s="5" t="s">
        <v>411</v>
      </c>
      <c r="B38" s="1" t="e" cm="1">
        <f t="array" aca="1" ref="B38:C38" ca="1">_xlfn.TEXTSPLIT(A38,",")</f>
        <v>#NAME?</v>
      </c>
      <c r="C38" s="1" t="e">
        <f ca="1"/>
        <v>#NAME?</v>
      </c>
      <c r="D38" s="1" t="e">
        <f t="shared" ca="1" si="5"/>
        <v>#NAME?</v>
      </c>
      <c r="E38" s="1" t="e">
        <f t="shared" ca="1" si="6"/>
        <v>#NAME?</v>
      </c>
      <c r="F38" s="1" t="e">
        <f t="shared" ca="1" si="7"/>
        <v>#NAME?</v>
      </c>
      <c r="G38" s="1" t="e">
        <f t="shared" ca="1" si="8"/>
        <v>#NAME?</v>
      </c>
      <c r="H38" s="1" t="str">
        <f t="shared" si="9"/>
        <v>schonhaut, constanza</v>
      </c>
      <c r="I38" s="1" t="s">
        <v>821</v>
      </c>
      <c r="J38" s="1">
        <f>VLOOKUP(I38,all!$N$2:$O$156,2,FALSE)</f>
        <v>37</v>
      </c>
      <c r="K38" t="s">
        <v>411</v>
      </c>
      <c r="L38" s="1">
        <v>37</v>
      </c>
    </row>
    <row r="39" spans="1:12" x14ac:dyDescent="0.35">
      <c r="A39" s="5" t="s">
        <v>466</v>
      </c>
      <c r="B39" s="1" t="e" cm="1">
        <f t="array" aca="1" ref="B39:C39" ca="1">_xlfn.TEXTSPLIT(A39,",")</f>
        <v>#NAME?</v>
      </c>
      <c r="C39" s="1" t="e">
        <f ca="1"/>
        <v>#NAME?</v>
      </c>
      <c r="D39" s="1" t="e">
        <f t="shared" ca="1" si="5"/>
        <v>#NAME?</v>
      </c>
      <c r="E39" s="1" t="e">
        <f t="shared" ca="1" si="6"/>
        <v>#NAME?</v>
      </c>
      <c r="F39" s="1" t="e">
        <f t="shared" ca="1" si="7"/>
        <v>#NAME?</v>
      </c>
      <c r="G39" s="1" t="e">
        <f t="shared" ca="1" si="8"/>
        <v>#NAME?</v>
      </c>
      <c r="H39" s="1" t="str">
        <f t="shared" si="9"/>
        <v>hube, constanza</v>
      </c>
      <c r="I39" s="1" t="s">
        <v>822</v>
      </c>
      <c r="J39" s="1">
        <f>VLOOKUP(I39,all!$N$2:$O$156,2,FALSE)</f>
        <v>38</v>
      </c>
      <c r="K39" t="s">
        <v>466</v>
      </c>
      <c r="L39" s="1">
        <v>38</v>
      </c>
    </row>
    <row r="40" spans="1:12" x14ac:dyDescent="0.35">
      <c r="A40" s="5" t="s">
        <v>439</v>
      </c>
      <c r="B40" s="1" t="e" cm="1">
        <f t="array" aca="1" ref="B40:C40" ca="1">_xlfn.TEXTSPLIT(A40,",")</f>
        <v>#NAME?</v>
      </c>
      <c r="C40" s="1" t="e">
        <f ca="1"/>
        <v>#NAME?</v>
      </c>
      <c r="D40" s="1" t="e">
        <f t="shared" ca="1" si="5"/>
        <v>#NAME?</v>
      </c>
      <c r="E40" s="1" t="e">
        <f t="shared" ca="1" si="6"/>
        <v>#NAME?</v>
      </c>
      <c r="F40" s="1" t="e">
        <f t="shared" ca="1" si="7"/>
        <v>#NAME?</v>
      </c>
      <c r="G40" s="1" t="e">
        <f t="shared" ca="1" si="8"/>
        <v>#NAME?</v>
      </c>
      <c r="H40" s="1" t="str">
        <f t="shared" si="9"/>
        <v>monckeberg, cristían</v>
      </c>
      <c r="I40" s="1" t="s">
        <v>823</v>
      </c>
      <c r="J40" s="1">
        <f>VLOOKUP(I40,all!$N$2:$O$156,2,FALSE)</f>
        <v>39</v>
      </c>
      <c r="K40" t="s">
        <v>439</v>
      </c>
      <c r="L40" s="1">
        <v>39</v>
      </c>
    </row>
    <row r="41" spans="1:12" x14ac:dyDescent="0.35">
      <c r="A41" s="5" t="s">
        <v>486</v>
      </c>
      <c r="B41" s="1" t="e" cm="1">
        <f t="array" aca="1" ref="B41:C41" ca="1">_xlfn.TEXTSPLIT(A41,",")</f>
        <v>#NAME?</v>
      </c>
      <c r="C41" s="1" t="e">
        <f ca="1"/>
        <v>#NAME?</v>
      </c>
      <c r="D41" s="1" t="e">
        <f t="shared" ca="1" si="5"/>
        <v>#NAME?</v>
      </c>
      <c r="E41" s="1" t="e">
        <f t="shared" ca="1" si="6"/>
        <v>#NAME?</v>
      </c>
      <c r="F41" s="1" t="e">
        <f t="shared" ca="1" si="7"/>
        <v>#NAME?</v>
      </c>
      <c r="G41" s="1" t="e">
        <f t="shared" ca="1" si="8"/>
        <v>#NAME?</v>
      </c>
      <c r="H41" s="1" t="str">
        <f t="shared" si="9"/>
        <v>dorador, cristina</v>
      </c>
      <c r="I41" s="1" t="s">
        <v>824</v>
      </c>
      <c r="J41" s="1">
        <f>VLOOKUP(I41,all!$N$2:$O$156,2,FALSE)</f>
        <v>40</v>
      </c>
      <c r="K41" t="s">
        <v>486</v>
      </c>
      <c r="L41" s="1">
        <v>40</v>
      </c>
    </row>
    <row r="42" spans="1:12" x14ac:dyDescent="0.35">
      <c r="A42" s="5" t="s">
        <v>525</v>
      </c>
      <c r="B42" s="1" t="e" cm="1">
        <f t="array" aca="1" ref="B42:C42" ca="1">_xlfn.TEXTSPLIT(A42,",")</f>
        <v>#NAME?</v>
      </c>
      <c r="C42" s="1" t="e">
        <f ca="1"/>
        <v>#NAME?</v>
      </c>
      <c r="D42" s="1" t="e">
        <f t="shared" ca="1" si="5"/>
        <v>#NAME?</v>
      </c>
      <c r="E42" s="1" t="e">
        <f t="shared" ca="1" si="6"/>
        <v>#NAME?</v>
      </c>
      <c r="F42" s="1" t="e">
        <f t="shared" ca="1" si="7"/>
        <v>#NAME?</v>
      </c>
      <c r="G42" s="1" t="e">
        <f t="shared" ca="1" si="8"/>
        <v>#NAME?</v>
      </c>
      <c r="H42" s="1" t="str">
        <f t="shared" si="9"/>
        <v>andrade, cristóbal</v>
      </c>
      <c r="I42" s="1" t="s">
        <v>825</v>
      </c>
      <c r="J42" s="1">
        <f>VLOOKUP(I42,all!$N$2:$O$156,2,FALSE)</f>
        <v>41</v>
      </c>
      <c r="K42" t="s">
        <v>525</v>
      </c>
      <c r="L42" s="1">
        <v>41</v>
      </c>
    </row>
    <row r="43" spans="1:12" x14ac:dyDescent="0.35">
      <c r="A43" s="5" t="s">
        <v>534</v>
      </c>
      <c r="B43" s="1" t="e" cm="1">
        <f t="array" aca="1" ref="B43:C43" ca="1">_xlfn.TEXTSPLIT(A43,",")</f>
        <v>#NAME?</v>
      </c>
      <c r="C43" s="1" t="e">
        <f ca="1"/>
        <v>#NAME?</v>
      </c>
      <c r="D43" s="1" t="e">
        <f t="shared" ca="1" si="5"/>
        <v>#NAME?</v>
      </c>
      <c r="E43" s="1" t="e">
        <f t="shared" ca="1" si="6"/>
        <v>#NAME?</v>
      </c>
      <c r="F43" s="1" t="e">
        <f t="shared" ca="1" si="7"/>
        <v>#NAME?</v>
      </c>
      <c r="G43" s="1" t="e">
        <f t="shared" ca="1" si="8"/>
        <v>#NAME?</v>
      </c>
      <c r="H43" s="1" t="str">
        <f t="shared" si="9"/>
        <v>abarca, damaris</v>
      </c>
      <c r="I43" s="1" t="s">
        <v>826</v>
      </c>
      <c r="J43" s="1">
        <f>VLOOKUP(I43,all!$N$2:$O$156,2,FALSE)</f>
        <v>42</v>
      </c>
      <c r="K43" t="s">
        <v>534</v>
      </c>
      <c r="L43" s="1">
        <v>42</v>
      </c>
    </row>
    <row r="44" spans="1:12" x14ac:dyDescent="0.35">
      <c r="A44" s="5" t="s">
        <v>510</v>
      </c>
      <c r="B44" s="1" t="e" cm="1">
        <f t="array" aca="1" ref="B44:C44" ca="1">_xlfn.TEXTSPLIT(A44,",")</f>
        <v>#NAME?</v>
      </c>
      <c r="C44" s="1" t="e">
        <f ca="1"/>
        <v>#NAME?</v>
      </c>
      <c r="D44" s="1" t="e">
        <f t="shared" ca="1" si="5"/>
        <v>#NAME?</v>
      </c>
      <c r="E44" s="1" t="e">
        <f t="shared" ca="1" si="6"/>
        <v>#NAME?</v>
      </c>
      <c r="F44" s="1" t="e">
        <f t="shared" ca="1" si="7"/>
        <v>#NAME?</v>
      </c>
      <c r="G44" s="1" t="e">
        <f t="shared" ca="1" si="8"/>
        <v>#NAME?</v>
      </c>
      <c r="H44" s="1" t="str">
        <f t="shared" si="9"/>
        <v>bravo, daniel</v>
      </c>
      <c r="I44" s="1" t="s">
        <v>827</v>
      </c>
      <c r="J44" s="1">
        <f>VLOOKUP(I44,all!$N$2:$O$156,2,FALSE)</f>
        <v>43</v>
      </c>
      <c r="K44" t="s">
        <v>510</v>
      </c>
      <c r="L44" s="1">
        <v>43</v>
      </c>
    </row>
    <row r="45" spans="1:12" x14ac:dyDescent="0.35">
      <c r="A45" s="5" t="s">
        <v>405</v>
      </c>
      <c r="B45" s="1" t="e" cm="1">
        <f t="array" aca="1" ref="B45:C45" ca="1">_xlfn.TEXTSPLIT(A45,",")</f>
        <v>#NAME?</v>
      </c>
      <c r="C45" s="1" t="e">
        <f ca="1"/>
        <v>#NAME?</v>
      </c>
      <c r="D45" s="1" t="e">
        <f t="shared" ca="1" si="5"/>
        <v>#NAME?</v>
      </c>
      <c r="E45" s="1" t="e">
        <f t="shared" ca="1" si="6"/>
        <v>#NAME?</v>
      </c>
      <c r="F45" s="1" t="e">
        <f t="shared" ca="1" si="7"/>
        <v>#NAME?</v>
      </c>
      <c r="G45" s="1" t="e">
        <f t="shared" ca="1" si="8"/>
        <v>#NAME?</v>
      </c>
      <c r="H45" s="1" t="str">
        <f t="shared" si="9"/>
        <v>stingo, daniel</v>
      </c>
      <c r="I45" s="1" t="s">
        <v>828</v>
      </c>
      <c r="J45" s="1">
        <f>VLOOKUP(I45,all!$N$2:$O$156,2,FALSE)</f>
        <v>44</v>
      </c>
      <c r="K45" t="s">
        <v>405</v>
      </c>
      <c r="L45" s="1">
        <v>44</v>
      </c>
    </row>
    <row r="46" spans="1:12" x14ac:dyDescent="0.35">
      <c r="A46" s="5" t="s">
        <v>476</v>
      </c>
      <c r="B46" s="1" t="e" cm="1">
        <f t="array" aca="1" ref="B46:C46" ca="1">_xlfn.TEXTSPLIT(A46,",")</f>
        <v>#NAME?</v>
      </c>
      <c r="C46" s="1" t="e">
        <f ca="1"/>
        <v>#NAME?</v>
      </c>
      <c r="D46" s="1" t="e">
        <f t="shared" ca="1" si="5"/>
        <v>#NAME?</v>
      </c>
      <c r="E46" s="1" t="e">
        <f t="shared" ca="1" si="6"/>
        <v>#NAME?</v>
      </c>
      <c r="F46" s="1" t="e">
        <f t="shared" ca="1" si="7"/>
        <v>#NAME?</v>
      </c>
      <c r="G46" s="1" t="e">
        <f t="shared" ca="1" si="8"/>
        <v>#NAME?</v>
      </c>
      <c r="H46" s="1" t="str">
        <f t="shared" si="9"/>
        <v>gonzález, dayyana</v>
      </c>
      <c r="I46" s="1" t="s">
        <v>829</v>
      </c>
      <c r="J46" s="1">
        <f>VLOOKUP(I46,all!$N$2:$O$156,2,FALSE)</f>
        <v>45</v>
      </c>
      <c r="K46" t="s">
        <v>476</v>
      </c>
      <c r="L46" s="1">
        <v>45</v>
      </c>
    </row>
    <row r="47" spans="1:12" x14ac:dyDescent="0.35">
      <c r="A47" s="5" t="s">
        <v>494</v>
      </c>
      <c r="B47" s="1" t="e" cm="1">
        <f t="array" aca="1" ref="B47:C47" ca="1">_xlfn.TEXTSPLIT(A47,",")</f>
        <v>#NAME?</v>
      </c>
      <c r="C47" s="1" t="e">
        <f ca="1"/>
        <v>#NAME?</v>
      </c>
      <c r="D47" s="1" t="e">
        <f t="shared" ca="1" si="5"/>
        <v>#NAME?</v>
      </c>
      <c r="E47" s="1" t="e">
        <f t="shared" ca="1" si="6"/>
        <v>#NAME?</v>
      </c>
      <c r="F47" s="1" t="e">
        <f t="shared" ca="1" si="7"/>
        <v>#NAME?</v>
      </c>
      <c r="G47" s="1" t="e">
        <f t="shared" ca="1" si="8"/>
        <v>#NAME?</v>
      </c>
      <c r="H47" s="1" t="str">
        <f t="shared" si="9"/>
        <v>cretton, eduardo</v>
      </c>
      <c r="I47" s="1" t="s">
        <v>830</v>
      </c>
      <c r="J47" s="1">
        <f>VLOOKUP(I47,all!$N$2:$O$156,2,FALSE)</f>
        <v>46</v>
      </c>
      <c r="K47" t="s">
        <v>494</v>
      </c>
      <c r="L47" s="1">
        <v>46</v>
      </c>
    </row>
    <row r="48" spans="1:12" x14ac:dyDescent="0.35">
      <c r="A48" s="5" t="s">
        <v>503</v>
      </c>
      <c r="B48" s="1" t="e" cm="1">
        <f t="array" aca="1" ref="B48:C48" ca="1">_xlfn.TEXTSPLIT(A48,",")</f>
        <v>#NAME?</v>
      </c>
      <c r="C48" s="1" t="e">
        <f ca="1"/>
        <v>#NAME?</v>
      </c>
      <c r="D48" s="1" t="e">
        <f t="shared" ca="1" si="5"/>
        <v>#NAME?</v>
      </c>
      <c r="E48" s="1" t="e">
        <f t="shared" ca="1" si="6"/>
        <v>#NAME?</v>
      </c>
      <c r="F48" s="1" t="e">
        <f t="shared" ca="1" si="7"/>
        <v>#NAME?</v>
      </c>
      <c r="G48" s="1" t="e">
        <f t="shared" ca="1" si="8"/>
        <v>#NAME?</v>
      </c>
      <c r="H48" s="1" t="str">
        <f t="shared" si="9"/>
        <v>castillo, eduardo</v>
      </c>
      <c r="I48" s="1" t="s">
        <v>831</v>
      </c>
      <c r="J48" s="1">
        <f>VLOOKUP(I48,all!$N$2:$O$156,2,FALSE)</f>
        <v>47</v>
      </c>
      <c r="K48" t="s">
        <v>503</v>
      </c>
      <c r="L48" s="1">
        <v>47</v>
      </c>
    </row>
    <row r="49" spans="1:12" x14ac:dyDescent="0.35">
      <c r="A49" s="5" t="s">
        <v>478</v>
      </c>
      <c r="B49" s="1" t="e" cm="1">
        <f t="array" aca="1" ref="B49:C49" ca="1">_xlfn.TEXTSPLIT(A49,",")</f>
        <v>#NAME?</v>
      </c>
      <c r="C49" s="1" t="e">
        <f ca="1"/>
        <v>#NAME?</v>
      </c>
      <c r="D49" s="1" t="e">
        <f t="shared" ca="1" si="5"/>
        <v>#NAME?</v>
      </c>
      <c r="E49" s="1" t="e">
        <f t="shared" ca="1" si="6"/>
        <v>#NAME?</v>
      </c>
      <c r="F49" s="1" t="e">
        <f t="shared" ca="1" si="7"/>
        <v>#NAME?</v>
      </c>
      <c r="G49" s="1" t="e">
        <f t="shared" ca="1" si="8"/>
        <v>#NAME?</v>
      </c>
      <c r="H49" s="1" t="str">
        <f t="shared" si="9"/>
        <v>giustinianovich, elisa</v>
      </c>
      <c r="I49" s="1" t="s">
        <v>832</v>
      </c>
      <c r="J49" s="1">
        <f>VLOOKUP(I49,all!$N$2:$O$156,2,FALSE)</f>
        <v>48</v>
      </c>
      <c r="K49" t="s">
        <v>478</v>
      </c>
      <c r="L49" s="1">
        <v>48</v>
      </c>
    </row>
    <row r="50" spans="1:12" x14ac:dyDescent="0.35">
      <c r="A50" s="5" t="s">
        <v>451</v>
      </c>
      <c r="B50" s="1" t="e" cm="1">
        <f t="array" aca="1" ref="B50:C50" ca="1">_xlfn.TEXTSPLIT(A50,",")</f>
        <v>#NAME?</v>
      </c>
      <c r="C50" s="1" t="e">
        <f ca="1"/>
        <v>#NAME?</v>
      </c>
      <c r="D50" s="1" t="e">
        <f t="shared" ca="1" si="5"/>
        <v>#NAME?</v>
      </c>
      <c r="E50" s="1" t="e">
        <f t="shared" ca="1" si="6"/>
        <v>#NAME?</v>
      </c>
      <c r="F50" s="1" t="e">
        <f t="shared" ca="1" si="7"/>
        <v>#NAME?</v>
      </c>
      <c r="G50" s="1" t="e">
        <f t="shared" ca="1" si="8"/>
        <v>#NAME?</v>
      </c>
      <c r="H50" s="1" t="str">
        <f t="shared" si="9"/>
        <v>loncón, elisa</v>
      </c>
      <c r="I50" s="1" t="s">
        <v>833</v>
      </c>
      <c r="J50" s="1">
        <f>VLOOKUP(I50,all!$N$2:$O$156,2,FALSE)</f>
        <v>49</v>
      </c>
      <c r="K50" t="s">
        <v>451</v>
      </c>
      <c r="L50" s="1">
        <v>49</v>
      </c>
    </row>
    <row r="51" spans="1:12" x14ac:dyDescent="0.35">
      <c r="A51" s="5" t="s">
        <v>458</v>
      </c>
      <c r="B51" s="1" t="e" cm="1">
        <f t="array" aca="1" ref="B51:C51" ca="1">_xlfn.TEXTSPLIT(A51,",")</f>
        <v>#NAME?</v>
      </c>
      <c r="C51" s="1" t="e">
        <f ca="1"/>
        <v>#NAME?</v>
      </c>
      <c r="D51" s="1" t="e">
        <f t="shared" ca="1" si="5"/>
        <v>#NAME?</v>
      </c>
      <c r="E51" s="1" t="e">
        <f t="shared" ca="1" si="6"/>
        <v>#NAME?</v>
      </c>
      <c r="F51" s="1" t="e">
        <f t="shared" ca="1" si="7"/>
        <v>#NAME?</v>
      </c>
      <c r="G51" s="1" t="e">
        <f t="shared" ca="1" si="8"/>
        <v>#NAME?</v>
      </c>
      <c r="H51" s="1" t="str">
        <f t="shared" si="9"/>
        <v>labraña, elsa</v>
      </c>
      <c r="I51" s="1" t="s">
        <v>834</v>
      </c>
      <c r="J51" s="1">
        <f>VLOOKUP(I51,all!$N$2:$O$156,2,FALSE)</f>
        <v>50</v>
      </c>
      <c r="K51" t="s">
        <v>458</v>
      </c>
      <c r="L51" s="1">
        <v>50</v>
      </c>
    </row>
    <row r="52" spans="1:12" x14ac:dyDescent="0.35">
      <c r="A52" s="5" t="s">
        <v>496</v>
      </c>
      <c r="B52" s="1" t="e" cm="1">
        <f t="array" aca="1" ref="B52:C52" ca="1">_xlfn.TEXTSPLIT(A52,",")</f>
        <v>#NAME?</v>
      </c>
      <c r="C52" s="1" t="e">
        <f ca="1"/>
        <v>#NAME?</v>
      </c>
      <c r="D52" s="1" t="e">
        <f t="shared" ca="1" si="5"/>
        <v>#NAME?</v>
      </c>
      <c r="E52" s="1" t="e">
        <f t="shared" ca="1" si="6"/>
        <v>#NAME?</v>
      </c>
      <c r="F52" s="1" t="e">
        <f t="shared" ca="1" si="7"/>
        <v>#NAME?</v>
      </c>
      <c r="G52" s="1" t="e">
        <f t="shared" ca="1" si="8"/>
        <v>#NAME?</v>
      </c>
      <c r="H52" s="1" t="str">
        <f t="shared" si="9"/>
        <v>chinga, eric</v>
      </c>
      <c r="I52" s="1" t="s">
        <v>835</v>
      </c>
      <c r="J52" s="1">
        <f>VLOOKUP(I52,all!$N$2:$O$156,2,FALSE)</f>
        <v>51</v>
      </c>
      <c r="K52" t="s">
        <v>496</v>
      </c>
      <c r="L52" s="1">
        <v>51</v>
      </c>
    </row>
    <row r="53" spans="1:12" x14ac:dyDescent="0.35">
      <c r="A53" s="5" t="s">
        <v>424</v>
      </c>
      <c r="B53" s="1" t="e" cm="1">
        <f t="array" aca="1" ref="B53:C53" ca="1">_xlfn.TEXTSPLIT(A53,",")</f>
        <v>#NAME?</v>
      </c>
      <c r="C53" s="1" t="e">
        <f ca="1"/>
        <v>#NAME?</v>
      </c>
      <c r="D53" s="1" t="e">
        <f t="shared" ca="1" si="5"/>
        <v>#NAME?</v>
      </c>
      <c r="E53" s="1" t="e">
        <f t="shared" ca="1" si="6"/>
        <v>#NAME?</v>
      </c>
      <c r="F53" s="1" t="e">
        <f t="shared" ca="1" si="7"/>
        <v>#NAME?</v>
      </c>
      <c r="G53" s="1" t="e">
        <f t="shared" ca="1" si="8"/>
        <v>#NAME?</v>
      </c>
      <c r="H53" s="1" t="str">
        <f t="shared" si="9"/>
        <v>portilla, ericka</v>
      </c>
      <c r="I53" s="1" t="s">
        <v>836</v>
      </c>
      <c r="J53" s="1">
        <f>VLOOKUP(I53,all!$N$2:$O$156,2,FALSE)</f>
        <v>52</v>
      </c>
      <c r="K53" t="s">
        <v>424</v>
      </c>
      <c r="L53" s="1">
        <v>52</v>
      </c>
    </row>
    <row r="54" spans="1:12" x14ac:dyDescent="0.35">
      <c r="A54" s="5" t="s">
        <v>469</v>
      </c>
      <c r="B54" s="1" t="e" cm="1">
        <f t="array" aca="1" ref="B54:C54" ca="1">_xlfn.TEXTSPLIT(A54,",")</f>
        <v>#NAME?</v>
      </c>
      <c r="C54" s="1" t="e">
        <f ca="1"/>
        <v>#NAME?</v>
      </c>
      <c r="D54" s="1" t="e">
        <f t="shared" ca="1" si="5"/>
        <v>#NAME?</v>
      </c>
      <c r="E54" s="1" t="e">
        <f t="shared" ca="1" si="6"/>
        <v>#NAME?</v>
      </c>
      <c r="F54" s="1" t="e">
        <f t="shared" ca="1" si="7"/>
        <v>#NAME?</v>
      </c>
      <c r="G54" s="1" t="e">
        <f t="shared" ca="1" si="8"/>
        <v>#NAME?</v>
      </c>
      <c r="H54" s="1" t="str">
        <f t="shared" si="9"/>
        <v>harboe, felipe</v>
      </c>
      <c r="I54" s="1" t="s">
        <v>837</v>
      </c>
      <c r="J54" s="1">
        <f>VLOOKUP(I54,all!$N$2:$O$156,2,FALSE)</f>
        <v>53</v>
      </c>
      <c r="K54" t="s">
        <v>469</v>
      </c>
      <c r="L54" s="1">
        <v>53</v>
      </c>
    </row>
    <row r="55" spans="1:12" x14ac:dyDescent="0.35">
      <c r="A55" s="5" t="s">
        <v>443</v>
      </c>
      <c r="B55" s="1" t="e" cm="1">
        <f t="array" aca="1" ref="B55:C55" ca="1">_xlfn.TEXTSPLIT(A55,",")</f>
        <v>#NAME?</v>
      </c>
      <c r="C55" s="1" t="e">
        <f ca="1"/>
        <v>#NAME?</v>
      </c>
      <c r="D55" s="1" t="e">
        <f t="shared" ca="1" si="5"/>
        <v>#NAME?</v>
      </c>
      <c r="E55" s="1" t="e">
        <f t="shared" ca="1" si="6"/>
        <v>#NAME?</v>
      </c>
      <c r="F55" s="1" t="e">
        <f t="shared" ca="1" si="7"/>
        <v>#NAME?</v>
      </c>
      <c r="G55" s="1" t="e">
        <f t="shared" ca="1" si="8"/>
        <v>#NAME?</v>
      </c>
      <c r="H55" s="1" t="str">
        <f t="shared" si="9"/>
        <v>mena, felipe</v>
      </c>
      <c r="I55" s="1" t="s">
        <v>838</v>
      </c>
      <c r="J55" s="1">
        <f>VLOOKUP(I55,all!$N$2:$O$156,2,FALSE)</f>
        <v>54</v>
      </c>
      <c r="K55" t="s">
        <v>443</v>
      </c>
      <c r="L55" s="1">
        <v>54</v>
      </c>
    </row>
    <row r="56" spans="1:12" x14ac:dyDescent="0.35">
      <c r="A56" s="5" t="s">
        <v>480</v>
      </c>
      <c r="B56" s="1" t="e" cm="1">
        <f t="array" aca="1" ref="B56:C56" ca="1">_xlfn.TEXTSPLIT(A56,",")</f>
        <v>#NAME?</v>
      </c>
      <c r="C56" s="1" t="e">
        <f ca="1"/>
        <v>#NAME?</v>
      </c>
      <c r="D56" s="1" t="e">
        <f t="shared" ca="1" si="5"/>
        <v>#NAME?</v>
      </c>
      <c r="E56" s="1" t="e">
        <f t="shared" ca="1" si="6"/>
        <v>#NAME?</v>
      </c>
      <c r="F56" s="1" t="e">
        <f t="shared" ca="1" si="7"/>
        <v>#NAME?</v>
      </c>
      <c r="G56" s="1" t="e">
        <f t="shared" ca="1" si="8"/>
        <v>#NAME?</v>
      </c>
      <c r="H56" s="1" t="str">
        <f t="shared" si="9"/>
        <v>galleguillos, félix</v>
      </c>
      <c r="I56" s="1" t="s">
        <v>839</v>
      </c>
      <c r="J56" s="1">
        <f>VLOOKUP(I56,all!$N$2:$O$156,2,FALSE)</f>
        <v>55</v>
      </c>
      <c r="K56" t="s">
        <v>480</v>
      </c>
      <c r="L56" s="1">
        <v>55</v>
      </c>
    </row>
    <row r="57" spans="1:12" x14ac:dyDescent="0.35">
      <c r="A57" s="5" t="s">
        <v>519</v>
      </c>
      <c r="B57" s="1" t="e" cm="1">
        <f t="array" aca="1" ref="B57:C57" ca="1">_xlfn.TEXTSPLIT(A57,",")</f>
        <v>#NAME?</v>
      </c>
      <c r="C57" s="1" t="e">
        <f ca="1"/>
        <v>#NAME?</v>
      </c>
      <c r="D57" s="1" t="e">
        <f t="shared" ca="1" si="5"/>
        <v>#NAME?</v>
      </c>
      <c r="E57" s="1" t="e">
        <f t="shared" ca="1" si="6"/>
        <v>#NAME?</v>
      </c>
      <c r="F57" s="1" t="e">
        <f t="shared" ca="1" si="7"/>
        <v>#NAME?</v>
      </c>
      <c r="G57" s="1" t="e">
        <f t="shared" ca="1" si="8"/>
        <v>#NAME?</v>
      </c>
      <c r="H57" s="1" t="str">
        <f t="shared" si="9"/>
        <v>atria, fernando</v>
      </c>
      <c r="I57" s="1" t="s">
        <v>840</v>
      </c>
      <c r="J57" s="1">
        <f>VLOOKUP(I57,all!$N$2:$O$156,2,FALSE)</f>
        <v>56</v>
      </c>
      <c r="K57" t="s">
        <v>519</v>
      </c>
      <c r="L57" s="1">
        <v>56</v>
      </c>
    </row>
    <row r="58" spans="1:12" x14ac:dyDescent="0.35">
      <c r="A58" s="5" t="s">
        <v>413</v>
      </c>
      <c r="B58" s="1" t="e" cm="1">
        <f t="array" aca="1" ref="B58:C58" ca="1">_xlfn.TEXTSPLIT(A58,",")</f>
        <v>#NAME?</v>
      </c>
      <c r="C58" s="1" t="e">
        <f ca="1"/>
        <v>#NAME?</v>
      </c>
      <c r="D58" s="1" t="e">
        <f t="shared" ca="1" si="5"/>
        <v>#NAME?</v>
      </c>
      <c r="E58" s="1" t="e">
        <f t="shared" ca="1" si="6"/>
        <v>#NAME?</v>
      </c>
      <c r="F58" s="1" t="e">
        <f t="shared" ca="1" si="7"/>
        <v>#NAME?</v>
      </c>
      <c r="G58" s="1" t="e">
        <f t="shared" ca="1" si="8"/>
        <v>#NAME?</v>
      </c>
      <c r="H58" s="1" t="str">
        <f t="shared" si="9"/>
        <v>salinas, fernando</v>
      </c>
      <c r="I58" s="1" t="s">
        <v>841</v>
      </c>
      <c r="J58" s="1">
        <f>VLOOKUP(I58,all!$N$2:$O$156,2,FALSE)</f>
        <v>57</v>
      </c>
      <c r="K58" t="s">
        <v>413</v>
      </c>
      <c r="L58" s="1">
        <v>57</v>
      </c>
    </row>
    <row r="59" spans="1:12" x14ac:dyDescent="0.35">
      <c r="A59" s="5" t="s">
        <v>402</v>
      </c>
      <c r="B59" s="1" t="e" cm="1">
        <f t="array" aca="1" ref="B59:C59" ca="1">_xlfn.TEXTSPLIT(A59,",")</f>
        <v>#NAME?</v>
      </c>
      <c r="C59" s="1" t="e">
        <f ca="1"/>
        <v>#NAME?</v>
      </c>
      <c r="D59" s="1" t="e">
        <f t="shared" ca="1" si="5"/>
        <v>#NAME?</v>
      </c>
      <c r="E59" s="1" t="e">
        <f t="shared" ca="1" si="6"/>
        <v>#NAME?</v>
      </c>
      <c r="F59" s="1" t="e">
        <f t="shared" ca="1" si="7"/>
        <v>#NAME?</v>
      </c>
      <c r="G59" s="1" t="e">
        <f t="shared" ca="1" si="8"/>
        <v>#NAME?</v>
      </c>
      <c r="H59" s="1" t="str">
        <f t="shared" si="9"/>
        <v>tirado, fernando</v>
      </c>
      <c r="I59" s="1" t="s">
        <v>842</v>
      </c>
      <c r="J59" s="1">
        <f>VLOOKUP(I59,all!$N$2:$O$156,2,FALSE)</f>
        <v>58</v>
      </c>
      <c r="K59" t="s">
        <v>402</v>
      </c>
      <c r="L59" s="1">
        <v>58</v>
      </c>
    </row>
    <row r="60" spans="1:12" x14ac:dyDescent="0.35">
      <c r="A60" s="5" t="s">
        <v>454</v>
      </c>
      <c r="B60" s="1" t="e" cm="1">
        <f t="array" aca="1" ref="B60:C60" ca="1">_xlfn.TEXTSPLIT(A60,",")</f>
        <v>#NAME?</v>
      </c>
      <c r="C60" s="1" t="e">
        <f ca="1"/>
        <v>#NAME?</v>
      </c>
      <c r="D60" s="1" t="e">
        <f t="shared" ca="1" si="5"/>
        <v>#NAME?</v>
      </c>
      <c r="E60" s="1" t="e">
        <f t="shared" ca="1" si="6"/>
        <v>#NAME?</v>
      </c>
      <c r="F60" s="1" t="e">
        <f t="shared" ca="1" si="7"/>
        <v>#NAME?</v>
      </c>
      <c r="G60" s="1" t="e">
        <f t="shared" ca="1" si="8"/>
        <v>#NAME?</v>
      </c>
      <c r="H60" s="1" t="str">
        <f t="shared" si="9"/>
        <v>linconao, francisca</v>
      </c>
      <c r="I60" s="1" t="s">
        <v>843</v>
      </c>
      <c r="J60" s="1">
        <f>VLOOKUP(I60,all!$N$2:$O$156,2,FALSE)</f>
        <v>59</v>
      </c>
      <c r="K60" t="s">
        <v>454</v>
      </c>
      <c r="L60" s="1">
        <v>59</v>
      </c>
    </row>
    <row r="61" spans="1:12" x14ac:dyDescent="0.35">
      <c r="A61" s="5" t="s">
        <v>522</v>
      </c>
      <c r="B61" s="1" t="e" cm="1">
        <f t="array" aca="1" ref="B61:C61" ca="1">_xlfn.TEXTSPLIT(A61,",")</f>
        <v>#NAME?</v>
      </c>
      <c r="C61" s="1" t="e">
        <f ca="1"/>
        <v>#NAME?</v>
      </c>
      <c r="D61" s="1" t="e">
        <f t="shared" ca="1" si="5"/>
        <v>#NAME?</v>
      </c>
      <c r="E61" s="1" t="e">
        <f t="shared" ca="1" si="6"/>
        <v>#NAME?</v>
      </c>
      <c r="F61" s="1" t="e">
        <f t="shared" ca="1" si="7"/>
        <v>#NAME?</v>
      </c>
      <c r="G61" s="1" t="e">
        <f t="shared" ca="1" si="8"/>
        <v>#NAME?</v>
      </c>
      <c r="H61" s="1" t="str">
        <f t="shared" si="9"/>
        <v>arauna, francisca</v>
      </c>
      <c r="I61" s="1" t="s">
        <v>844</v>
      </c>
      <c r="J61" s="1">
        <f>VLOOKUP(I61,all!$N$2:$O$156,2,FALSE)</f>
        <v>60</v>
      </c>
      <c r="K61" t="s">
        <v>522</v>
      </c>
      <c r="L61" s="1">
        <v>60</v>
      </c>
    </row>
    <row r="62" spans="1:12" x14ac:dyDescent="0.35">
      <c r="A62" s="5" t="s">
        <v>509</v>
      </c>
      <c r="B62" s="1" t="e" cm="1">
        <f t="array" aca="1" ref="B62:C62" ca="1">_xlfn.TEXTSPLIT(A62,",")</f>
        <v>#NAME?</v>
      </c>
      <c r="C62" s="1" t="e">
        <f ca="1"/>
        <v>#NAME?</v>
      </c>
      <c r="D62" s="1" t="e">
        <f t="shared" ca="1" si="5"/>
        <v>#NAME?</v>
      </c>
      <c r="E62" s="1" t="e">
        <f t="shared" ca="1" si="6"/>
        <v>#NAME?</v>
      </c>
      <c r="F62" s="1" t="e">
        <f t="shared" ca="1" si="7"/>
        <v>#NAME?</v>
      </c>
      <c r="G62" s="1" t="e">
        <f t="shared" ca="1" si="8"/>
        <v>#NAME?</v>
      </c>
      <c r="H62" s="1" t="str">
        <f t="shared" si="9"/>
        <v>caamaño, francisco</v>
      </c>
      <c r="I62" s="1" t="s">
        <v>845</v>
      </c>
      <c r="J62" s="1">
        <f>VLOOKUP(I62,all!$N$2:$O$156,2,FALSE)</f>
        <v>61</v>
      </c>
      <c r="K62" t="s">
        <v>509</v>
      </c>
      <c r="L62" s="1">
        <v>61</v>
      </c>
    </row>
    <row r="63" spans="1:12" x14ac:dyDescent="0.35">
      <c r="A63" s="5" t="s">
        <v>497</v>
      </c>
      <c r="B63" s="1" t="e" cm="1">
        <f t="array" aca="1" ref="B63:C63" ca="1">_xlfn.TEXTSPLIT(A63,",")</f>
        <v>#NAME?</v>
      </c>
      <c r="C63" s="1" t="e">
        <f ca="1"/>
        <v>#NAME?</v>
      </c>
      <c r="D63" s="1" t="e">
        <f t="shared" ca="1" si="5"/>
        <v>#NAME?</v>
      </c>
      <c r="E63" s="1" t="e">
        <f t="shared" ca="1" si="6"/>
        <v>#NAME?</v>
      </c>
      <c r="F63" s="1" t="e">
        <f t="shared" ca="1" si="7"/>
        <v>#NAME?</v>
      </c>
      <c r="G63" s="1" t="e">
        <f t="shared" ca="1" si="8"/>
        <v>#NAME?</v>
      </c>
      <c r="H63" s="1" t="str">
        <f t="shared" si="9"/>
        <v>chahín, fuad</v>
      </c>
      <c r="I63" s="1" t="s">
        <v>846</v>
      </c>
      <c r="J63" s="1">
        <f>VLOOKUP(I63,all!$N$2:$O$156,2,FALSE)</f>
        <v>62</v>
      </c>
      <c r="K63" t="s">
        <v>497</v>
      </c>
      <c r="L63" s="1">
        <v>62</v>
      </c>
    </row>
    <row r="64" spans="1:12" x14ac:dyDescent="0.35">
      <c r="A64" s="5" t="s">
        <v>487</v>
      </c>
      <c r="B64" s="1" t="e" cm="1">
        <f t="array" aca="1" ref="B64:C64" ca="1">_xlfn.TEXTSPLIT(A64,",")</f>
        <v>#NAME?</v>
      </c>
      <c r="C64" s="1" t="e">
        <f ca="1"/>
        <v>#NAME?</v>
      </c>
      <c r="D64" s="1" t="e">
        <f t="shared" ca="1" si="5"/>
        <v>#NAME?</v>
      </c>
      <c r="E64" s="1" t="e">
        <f t="shared" ca="1" si="6"/>
        <v>#NAME?</v>
      </c>
      <c r="F64" s="1" t="e">
        <f t="shared" ca="1" si="7"/>
        <v>#NAME?</v>
      </c>
      <c r="G64" s="1" t="e">
        <f t="shared" ca="1" si="8"/>
        <v>#NAME?</v>
      </c>
      <c r="H64" s="1" t="str">
        <f t="shared" si="9"/>
        <v>domínguez, gaspar</v>
      </c>
      <c r="I64" s="1" t="s">
        <v>847</v>
      </c>
      <c r="J64" s="1">
        <f>VLOOKUP(I64,all!$N$2:$O$156,2,FALSE)</f>
        <v>63</v>
      </c>
      <c r="K64" t="s">
        <v>487</v>
      </c>
      <c r="L64" s="1">
        <v>63</v>
      </c>
    </row>
    <row r="65" spans="1:12" x14ac:dyDescent="0.35">
      <c r="A65" s="5" t="s">
        <v>433</v>
      </c>
      <c r="B65" s="1" t="e" cm="1">
        <f t="array" aca="1" ref="B65:C65" ca="1">_xlfn.TEXTSPLIT(A65,",")</f>
        <v>#NAME?</v>
      </c>
      <c r="C65" s="1" t="e">
        <f ca="1"/>
        <v>#NAME?</v>
      </c>
      <c r="D65" s="1" t="e">
        <f t="shared" ca="1" si="5"/>
        <v>#NAME?</v>
      </c>
      <c r="E65" s="1" t="e">
        <f t="shared" ca="1" si="6"/>
        <v>#NAME?</v>
      </c>
      <c r="F65" s="1" t="e">
        <f t="shared" ca="1" si="7"/>
        <v>#NAME?</v>
      </c>
      <c r="G65" s="1" t="e">
        <f t="shared" ca="1" si="8"/>
        <v>#NAME?</v>
      </c>
      <c r="H65" s="1" t="str">
        <f t="shared" si="9"/>
        <v>navarrete, geoconda</v>
      </c>
      <c r="I65" s="1" t="s">
        <v>848</v>
      </c>
      <c r="J65" s="1">
        <f>VLOOKUP(I65,all!$N$2:$O$156,2,FALSE)</f>
        <v>64</v>
      </c>
      <c r="K65" t="s">
        <v>433</v>
      </c>
      <c r="L65" s="1">
        <v>64</v>
      </c>
    </row>
    <row r="66" spans="1:12" x14ac:dyDescent="0.35">
      <c r="A66" s="5" t="s">
        <v>416</v>
      </c>
      <c r="B66" s="1" t="e" cm="1">
        <f t="array" aca="1" ref="B66:C66" ca="1">_xlfn.TEXTSPLIT(A66,",")</f>
        <v>#NAME?</v>
      </c>
      <c r="C66" s="1" t="e">
        <f ca="1"/>
        <v>#NAME?</v>
      </c>
      <c r="D66" s="1" t="e">
        <f t="shared" ref="D66:D97" ca="1" si="10">TRIM(B66)</f>
        <v>#NAME?</v>
      </c>
      <c r="E66" s="1" t="e">
        <f t="shared" ref="E66:E97" ca="1" si="11">TRIM(C66)</f>
        <v>#NAME?</v>
      </c>
      <c r="F66" s="1" t="e">
        <f t="shared" ref="F66:F97" ca="1" si="12">LOWER(D66)</f>
        <v>#NAME?</v>
      </c>
      <c r="G66" s="1" t="e">
        <f t="shared" ref="G66:G97" ca="1" si="13">LOWER(E66)</f>
        <v>#NAME?</v>
      </c>
      <c r="H66" s="1" t="str">
        <f t="shared" ref="H66:H97" si="14">LOWER(A66)</f>
        <v>roa, giovanna</v>
      </c>
      <c r="I66" s="1" t="s">
        <v>849</v>
      </c>
      <c r="J66" s="1">
        <f>VLOOKUP(I66,all!$N$2:$O$156,2,FALSE)</f>
        <v>65</v>
      </c>
      <c r="K66" t="s">
        <v>416</v>
      </c>
      <c r="L66" s="1">
        <v>65</v>
      </c>
    </row>
    <row r="67" spans="1:12" x14ac:dyDescent="0.35">
      <c r="A67" s="5" t="s">
        <v>474</v>
      </c>
      <c r="B67" s="1" t="e" cm="1">
        <f t="array" aca="1" ref="B67:C67" ca="1">_xlfn.TEXTSPLIT(A67,",")</f>
        <v>#NAME?</v>
      </c>
      <c r="C67" s="1" t="e">
        <f ca="1"/>
        <v>#NAME?</v>
      </c>
      <c r="D67" s="1" t="e">
        <f t="shared" ca="1" si="10"/>
        <v>#NAME?</v>
      </c>
      <c r="E67" s="1" t="e">
        <f t="shared" ca="1" si="11"/>
        <v>#NAME?</v>
      </c>
      <c r="F67" s="1" t="e">
        <f t="shared" ca="1" si="12"/>
        <v>#NAME?</v>
      </c>
      <c r="G67" s="1" t="e">
        <f t="shared" ca="1" si="13"/>
        <v>#NAME?</v>
      </c>
      <c r="H67" s="1" t="str">
        <f t="shared" si="14"/>
        <v>grandón, giovanna</v>
      </c>
      <c r="I67" s="1" t="s">
        <v>850</v>
      </c>
      <c r="J67" s="1">
        <f>VLOOKUP(I67,all!$N$2:$O$156,2,FALSE)</f>
        <v>66</v>
      </c>
      <c r="K67" t="s">
        <v>474</v>
      </c>
      <c r="L67" s="1">
        <v>66</v>
      </c>
    </row>
    <row r="68" spans="1:12" x14ac:dyDescent="0.35">
      <c r="A68" s="5" t="s">
        <v>530</v>
      </c>
      <c r="B68" s="1" t="e" cm="1">
        <f t="array" aca="1" ref="B68:C68" ca="1">_xlfn.TEXTSPLIT(A68,",")</f>
        <v>#NAME?</v>
      </c>
      <c r="C68" s="1" t="e">
        <f ca="1"/>
        <v>#NAME?</v>
      </c>
      <c r="D68" s="1" t="e">
        <f t="shared" ca="1" si="10"/>
        <v>#NAME?</v>
      </c>
      <c r="E68" s="1" t="e">
        <f t="shared" ca="1" si="11"/>
        <v>#NAME?</v>
      </c>
      <c r="F68" s="1" t="e">
        <f t="shared" ca="1" si="12"/>
        <v>#NAME?</v>
      </c>
      <c r="G68" s="1" t="e">
        <f t="shared" ca="1" si="13"/>
        <v>#NAME?</v>
      </c>
      <c r="H68" s="1" t="str">
        <f t="shared" si="14"/>
        <v>alvarado, gloria</v>
      </c>
      <c r="I68" s="1" t="s">
        <v>851</v>
      </c>
      <c r="J68" s="1">
        <f>VLOOKUP(I68,all!$N$2:$O$156,2,FALSE)</f>
        <v>67</v>
      </c>
      <c r="K68" t="s">
        <v>530</v>
      </c>
      <c r="L68" s="1">
        <v>67</v>
      </c>
    </row>
    <row r="69" spans="1:12" x14ac:dyDescent="0.35">
      <c r="A69" s="5" t="s">
        <v>434</v>
      </c>
      <c r="B69" s="1" t="e" cm="1">
        <f t="array" aca="1" ref="B69:C69" ca="1">_xlfn.TEXTSPLIT(A69,",")</f>
        <v>#NAME?</v>
      </c>
      <c r="C69" s="1" t="e">
        <f ca="1"/>
        <v>#NAME?</v>
      </c>
      <c r="D69" s="1" t="e">
        <f t="shared" ca="1" si="10"/>
        <v>#NAME?</v>
      </c>
      <c r="E69" s="1" t="e">
        <f t="shared" ca="1" si="11"/>
        <v>#NAME?</v>
      </c>
      <c r="F69" s="1" t="e">
        <f t="shared" ca="1" si="12"/>
        <v>#NAME?</v>
      </c>
      <c r="G69" s="1" t="e">
        <f t="shared" ca="1" si="13"/>
        <v>#NAME?</v>
      </c>
      <c r="H69" s="1" t="str">
        <f t="shared" si="14"/>
        <v>namor, guillermo</v>
      </c>
      <c r="I69" s="1" t="s">
        <v>852</v>
      </c>
      <c r="J69" s="1">
        <f>VLOOKUP(I69,all!$N$2:$O$156,2,FALSE)</f>
        <v>68</v>
      </c>
      <c r="K69" t="s">
        <v>434</v>
      </c>
      <c r="L69" s="1">
        <v>68</v>
      </c>
    </row>
    <row r="70" spans="1:12" x14ac:dyDescent="0.35">
      <c r="A70" s="5" t="s">
        <v>461</v>
      </c>
      <c r="B70" s="1" t="e" cm="1">
        <f t="array" aca="1" ref="B70:C70" ca="1">_xlfn.TEXTSPLIT(A70,",")</f>
        <v>#NAME?</v>
      </c>
      <c r="C70" s="1" t="e">
        <f ca="1"/>
        <v>#NAME?</v>
      </c>
      <c r="D70" s="1" t="e">
        <f t="shared" ca="1" si="10"/>
        <v>#NAME?</v>
      </c>
      <c r="E70" s="1" t="e">
        <f t="shared" ca="1" si="11"/>
        <v>#NAME?</v>
      </c>
      <c r="F70" s="1" t="e">
        <f t="shared" ca="1" si="12"/>
        <v>#NAME?</v>
      </c>
      <c r="G70" s="1" t="e">
        <f t="shared" ca="1" si="13"/>
        <v>#NAME?</v>
      </c>
      <c r="H70" s="1" t="str">
        <f t="shared" si="14"/>
        <v>jurgensen, harry</v>
      </c>
      <c r="I70" s="1" t="s">
        <v>853</v>
      </c>
      <c r="J70" s="1">
        <f>VLOOKUP(I70,all!$N$2:$O$156,2,FALSE)</f>
        <v>69</v>
      </c>
      <c r="K70" t="s">
        <v>461</v>
      </c>
      <c r="L70" s="1">
        <v>69</v>
      </c>
    </row>
    <row r="71" spans="1:12" x14ac:dyDescent="0.35">
      <c r="A71" s="5" t="s">
        <v>446</v>
      </c>
      <c r="B71" s="1" t="e" cm="1">
        <f t="array" aca="1" ref="B71:C71" ca="1">_xlfn.TEXTSPLIT(A71,",")</f>
        <v>#NAME?</v>
      </c>
      <c r="C71" s="1" t="e">
        <f ca="1"/>
        <v>#NAME?</v>
      </c>
      <c r="D71" s="1" t="e">
        <f t="shared" ca="1" si="10"/>
        <v>#NAME?</v>
      </c>
      <c r="E71" s="1" t="e">
        <f t="shared" ca="1" si="11"/>
        <v>#NAME?</v>
      </c>
      <c r="F71" s="1" t="e">
        <f t="shared" ca="1" si="12"/>
        <v>#NAME?</v>
      </c>
      <c r="G71" s="1" t="e">
        <f t="shared" ca="1" si="13"/>
        <v>#NAME?</v>
      </c>
      <c r="H71" s="1" t="str">
        <f t="shared" si="14"/>
        <v>martínez, helmuth</v>
      </c>
      <c r="I71" s="1" t="s">
        <v>854</v>
      </c>
      <c r="J71" s="1">
        <f>VLOOKUP(I71,all!$N$2:$O$156,2,FALSE)</f>
        <v>70</v>
      </c>
      <c r="K71" t="s">
        <v>446</v>
      </c>
      <c r="L71" s="1">
        <v>70</v>
      </c>
    </row>
    <row r="72" spans="1:12" x14ac:dyDescent="0.35">
      <c r="A72" s="5" t="s">
        <v>390</v>
      </c>
      <c r="B72" s="1" t="e" cm="1">
        <f t="array" aca="1" ref="B72:C72" ca="1">_xlfn.TEXTSPLIT(A72,",")</f>
        <v>#NAME?</v>
      </c>
      <c r="C72" s="1" t="e">
        <f ca="1"/>
        <v>#NAME?</v>
      </c>
      <c r="D72" s="1" t="e">
        <f t="shared" ca="1" si="10"/>
        <v>#NAME?</v>
      </c>
      <c r="E72" s="1" t="e">
        <f t="shared" ca="1" si="11"/>
        <v>#NAME?</v>
      </c>
      <c r="F72" s="1" t="e">
        <f t="shared" ca="1" si="12"/>
        <v>#NAME?</v>
      </c>
      <c r="G72" s="1" t="e">
        <f t="shared" ca="1" si="13"/>
        <v>#NAME?</v>
      </c>
      <c r="H72" s="1" t="str">
        <f t="shared" si="14"/>
        <v>velásquez, hernán</v>
      </c>
      <c r="I72" s="1" t="s">
        <v>855</v>
      </c>
      <c r="J72" s="1">
        <f>VLOOKUP(I72,all!$N$2:$O$156,2,FALSE)</f>
        <v>71</v>
      </c>
      <c r="K72" t="s">
        <v>390</v>
      </c>
      <c r="L72" s="1">
        <v>71</v>
      </c>
    </row>
    <row r="73" spans="1:12" x14ac:dyDescent="0.35">
      <c r="A73" s="5" t="s">
        <v>456</v>
      </c>
      <c r="B73" s="1" t="e" cm="1">
        <f t="array" aca="1" ref="B73:C73" ca="1">_xlfn.TEXTSPLIT(A73,",")</f>
        <v>#NAME?</v>
      </c>
      <c r="C73" s="1" t="e">
        <f ca="1"/>
        <v>#NAME?</v>
      </c>
      <c r="D73" s="1" t="e">
        <f t="shared" ca="1" si="10"/>
        <v>#NAME?</v>
      </c>
      <c r="E73" s="1" t="e">
        <f t="shared" ca="1" si="11"/>
        <v>#NAME?</v>
      </c>
      <c r="F73" s="1" t="e">
        <f t="shared" ca="1" si="12"/>
        <v>#NAME?</v>
      </c>
      <c r="G73" s="1" t="e">
        <f t="shared" ca="1" si="13"/>
        <v>#NAME?</v>
      </c>
      <c r="H73" s="1" t="str">
        <f t="shared" si="14"/>
        <v>larraín, hernán</v>
      </c>
      <c r="I73" s="1" t="s">
        <v>856</v>
      </c>
      <c r="J73" s="1">
        <f>VLOOKUP(I73,all!$N$2:$O$156,2,FALSE)</f>
        <v>72</v>
      </c>
      <c r="K73" t="s">
        <v>456</v>
      </c>
      <c r="L73" s="1">
        <v>72</v>
      </c>
    </row>
    <row r="74" spans="1:12" x14ac:dyDescent="0.35">
      <c r="A74" s="5" t="s">
        <v>472</v>
      </c>
      <c r="B74" s="1" t="e" cm="1">
        <f t="array" aca="1" ref="B74:C74" ca="1">_xlfn.TEXTSPLIT(A74,",")</f>
        <v>#NAME?</v>
      </c>
      <c r="C74" s="1" t="e">
        <f ca="1"/>
        <v>#NAME?</v>
      </c>
      <c r="D74" s="1" t="e">
        <f t="shared" ca="1" si="10"/>
        <v>#NAME?</v>
      </c>
      <c r="E74" s="1" t="e">
        <f t="shared" ca="1" si="11"/>
        <v>#NAME?</v>
      </c>
      <c r="F74" s="1" t="e">
        <f t="shared" ca="1" si="12"/>
        <v>#NAME?</v>
      </c>
      <c r="G74" s="1" t="e">
        <f t="shared" ca="1" si="13"/>
        <v>#NAME?</v>
      </c>
      <c r="H74" s="1" t="str">
        <f t="shared" si="14"/>
        <v>gutiérrez, hugo</v>
      </c>
      <c r="I74" s="1" t="s">
        <v>857</v>
      </c>
      <c r="J74" s="1">
        <f>VLOOKUP(I74,all!$N$2:$O$156,2,FALSE)</f>
        <v>73</v>
      </c>
      <c r="K74" t="s">
        <v>472</v>
      </c>
      <c r="L74" s="1">
        <v>73</v>
      </c>
    </row>
    <row r="75" spans="1:12" x14ac:dyDescent="0.35">
      <c r="A75" s="5" t="s">
        <v>532</v>
      </c>
      <c r="B75" s="1" t="e" cm="1">
        <f t="array" aca="1" ref="B75:C75" ca="1">_xlfn.TEXTSPLIT(A75,",")</f>
        <v>#NAME?</v>
      </c>
      <c r="C75" s="1" t="e">
        <f ca="1"/>
        <v>#NAME?</v>
      </c>
      <c r="D75" s="1" t="e">
        <f t="shared" ca="1" si="10"/>
        <v>#NAME?</v>
      </c>
      <c r="E75" s="1" t="e">
        <f t="shared" ca="1" si="11"/>
        <v>#NAME?</v>
      </c>
      <c r="F75" s="1" t="e">
        <f t="shared" ca="1" si="12"/>
        <v>#NAME?</v>
      </c>
      <c r="G75" s="1" t="e">
        <f t="shared" ca="1" si="13"/>
        <v>#NAME?</v>
      </c>
      <c r="H75" s="1" t="str">
        <f t="shared" si="14"/>
        <v>achurra, ignacio</v>
      </c>
      <c r="I75" s="1" t="s">
        <v>858</v>
      </c>
      <c r="J75" s="1">
        <f>VLOOKUP(I75,all!$N$2:$O$156,2,FALSE)</f>
        <v>74</v>
      </c>
      <c r="K75" t="s">
        <v>532</v>
      </c>
      <c r="L75" s="1">
        <v>74</v>
      </c>
    </row>
    <row r="76" spans="1:12" x14ac:dyDescent="0.35">
      <c r="A76" s="5" t="s">
        <v>384</v>
      </c>
      <c r="B76" s="1" t="e" cm="1">
        <f t="array" aca="1" ref="B76:C76" ca="1">_xlfn.TEXTSPLIT(A76,",")</f>
        <v>#NAME?</v>
      </c>
      <c r="C76" s="1" t="e">
        <f ca="1"/>
        <v>#NAME?</v>
      </c>
      <c r="D76" s="1" t="e">
        <f t="shared" ca="1" si="10"/>
        <v>#NAME?</v>
      </c>
      <c r="E76" s="1" t="e">
        <f t="shared" ca="1" si="11"/>
        <v>#NAME?</v>
      </c>
      <c r="F76" s="1" t="e">
        <f t="shared" ca="1" si="12"/>
        <v>#NAME?</v>
      </c>
      <c r="G76" s="1" t="e">
        <f t="shared" ca="1" si="13"/>
        <v>#NAME?</v>
      </c>
      <c r="H76" s="1" t="str">
        <f t="shared" si="14"/>
        <v>villena, ingrid</v>
      </c>
      <c r="I76" s="1" t="s">
        <v>859</v>
      </c>
      <c r="J76" s="1">
        <f>VLOOKUP(I76,all!$N$2:$O$156,2,FALSE)</f>
        <v>75</v>
      </c>
      <c r="K76" t="s">
        <v>384</v>
      </c>
      <c r="L76" s="1">
        <v>75</v>
      </c>
    </row>
    <row r="77" spans="1:12" x14ac:dyDescent="0.35">
      <c r="A77" s="5" t="s">
        <v>477</v>
      </c>
      <c r="B77" s="1" t="e" cm="1">
        <f t="array" aca="1" ref="B77:C77" ca="1">_xlfn.TEXTSPLIT(A77,",")</f>
        <v>#NAME?</v>
      </c>
      <c r="C77" s="1" t="e">
        <f ca="1"/>
        <v>#NAME?</v>
      </c>
      <c r="D77" s="1" t="e">
        <f t="shared" ca="1" si="10"/>
        <v>#NAME?</v>
      </c>
      <c r="E77" s="1" t="e">
        <f t="shared" ca="1" si="11"/>
        <v>#NAME?</v>
      </c>
      <c r="F77" s="1" t="e">
        <f t="shared" ca="1" si="12"/>
        <v>#NAME?</v>
      </c>
      <c r="G77" s="1" t="e">
        <f t="shared" ca="1" si="13"/>
        <v>#NAME?</v>
      </c>
      <c r="H77" s="1" t="str">
        <f t="shared" si="14"/>
        <v>godoy, isabel</v>
      </c>
      <c r="I77" s="1" t="s">
        <v>860</v>
      </c>
      <c r="J77" s="1">
        <f>VLOOKUP(I77,all!$N$2:$O$156,2,FALSE)</f>
        <v>76</v>
      </c>
      <c r="K77" t="s">
        <v>477</v>
      </c>
      <c r="L77" s="1">
        <v>76</v>
      </c>
    </row>
    <row r="78" spans="1:12" x14ac:dyDescent="0.35">
      <c r="A78" s="5" t="s">
        <v>449</v>
      </c>
      <c r="B78" s="1" t="e" cm="1">
        <f t="array" aca="1" ref="B78:C78" ca="1">_xlfn.TEXTSPLIT(A78,",")</f>
        <v>#NAME?</v>
      </c>
      <c r="C78" s="1" t="e">
        <f ca="1"/>
        <v>#NAME?</v>
      </c>
      <c r="D78" s="1" t="e">
        <f t="shared" ca="1" si="10"/>
        <v>#NAME?</v>
      </c>
      <c r="E78" s="1" t="e">
        <f t="shared" ca="1" si="11"/>
        <v>#NAME?</v>
      </c>
      <c r="F78" s="1" t="e">
        <f t="shared" ca="1" si="12"/>
        <v>#NAME?</v>
      </c>
      <c r="G78" s="1" t="e">
        <f t="shared" ca="1" si="13"/>
        <v>#NAME?</v>
      </c>
      <c r="H78" s="1" t="str">
        <f t="shared" si="14"/>
        <v>mamani, isabella</v>
      </c>
      <c r="I78" s="1" t="s">
        <v>861</v>
      </c>
      <c r="J78" s="1">
        <f>VLOOKUP(I78,all!$N$2:$O$156,2,FALSE)</f>
        <v>77</v>
      </c>
      <c r="K78" t="s">
        <v>449</v>
      </c>
      <c r="L78" s="1">
        <v>77</v>
      </c>
    </row>
    <row r="79" spans="1:12" x14ac:dyDescent="0.35">
      <c r="A79" s="5" t="s">
        <v>430</v>
      </c>
      <c r="B79" s="1" t="e" cm="1">
        <f t="array" aca="1" ref="B79:C79" ca="1">_xlfn.TEXTSPLIT(A79,",")</f>
        <v>#NAME?</v>
      </c>
      <c r="C79" s="1" t="e">
        <f ca="1"/>
        <v>#NAME?</v>
      </c>
      <c r="D79" s="1" t="e">
        <f t="shared" ca="1" si="10"/>
        <v>#NAME?</v>
      </c>
      <c r="E79" s="1" t="e">
        <f t="shared" ca="1" si="11"/>
        <v>#NAME?</v>
      </c>
      <c r="F79" s="1" t="e">
        <f t="shared" ca="1" si="12"/>
        <v>#NAME?</v>
      </c>
      <c r="G79" s="1" t="e">
        <f t="shared" ca="1" si="13"/>
        <v>#NAME?</v>
      </c>
      <c r="H79" s="1" t="str">
        <f t="shared" si="14"/>
        <v>olivares, ivanna</v>
      </c>
      <c r="I79" s="1" t="s">
        <v>862</v>
      </c>
      <c r="J79" s="1">
        <f>VLOOKUP(I79,all!$N$2:$O$156,2,FALSE)</f>
        <v>78</v>
      </c>
      <c r="K79" t="s">
        <v>430</v>
      </c>
      <c r="L79" s="1">
        <v>78</v>
      </c>
    </row>
    <row r="80" spans="1:12" x14ac:dyDescent="0.35">
      <c r="A80" s="5" t="s">
        <v>513</v>
      </c>
      <c r="B80" s="1" t="e" cm="1">
        <f t="array" aca="1" ref="B80:C80" ca="1">_xlfn.TEXTSPLIT(A80,",")</f>
        <v>#NAME?</v>
      </c>
      <c r="C80" s="1" t="e">
        <f ca="1"/>
        <v>#NAME?</v>
      </c>
      <c r="D80" s="1" t="e">
        <f t="shared" ca="1" si="10"/>
        <v>#NAME?</v>
      </c>
      <c r="E80" s="1" t="e">
        <f t="shared" ca="1" si="11"/>
        <v>#NAME?</v>
      </c>
      <c r="F80" s="1" t="e">
        <f t="shared" ca="1" si="12"/>
        <v>#NAME?</v>
      </c>
      <c r="G80" s="1" t="e">
        <f t="shared" ca="1" si="13"/>
        <v>#NAME?</v>
      </c>
      <c r="H80" s="1" t="str">
        <f t="shared" si="14"/>
        <v>bassa, jaime</v>
      </c>
      <c r="I80" s="1" t="s">
        <v>863</v>
      </c>
      <c r="J80" s="1">
        <f>VLOOKUP(I80,all!$N$2:$O$156,2,FALSE)</f>
        <v>79</v>
      </c>
      <c r="K80" t="s">
        <v>513</v>
      </c>
      <c r="L80" s="1">
        <v>79</v>
      </c>
    </row>
    <row r="81" spans="1:12" x14ac:dyDescent="0.35">
      <c r="A81" s="5" t="s">
        <v>442</v>
      </c>
      <c r="B81" s="1" t="e" cm="1">
        <f t="array" aca="1" ref="B81:C81" ca="1">_xlfn.TEXTSPLIT(A81,",")</f>
        <v>#NAME?</v>
      </c>
      <c r="C81" s="1" t="e">
        <f ca="1"/>
        <v>#NAME?</v>
      </c>
      <c r="D81" s="1" t="e">
        <f t="shared" ca="1" si="10"/>
        <v>#NAME?</v>
      </c>
      <c r="E81" s="1" t="e">
        <f t="shared" ca="1" si="11"/>
        <v>#NAME?</v>
      </c>
      <c r="F81" s="1" t="e">
        <f t="shared" ca="1" si="12"/>
        <v>#NAME?</v>
      </c>
      <c r="G81" s="1" t="e">
        <f t="shared" ca="1" si="13"/>
        <v>#NAME?</v>
      </c>
      <c r="H81" s="1" t="str">
        <f t="shared" si="14"/>
        <v>meneses, janis</v>
      </c>
      <c r="I81" s="1" t="s">
        <v>864</v>
      </c>
      <c r="J81" s="1">
        <f>VLOOKUP(I81,all!$N$2:$O$156,2,FALSE)</f>
        <v>80</v>
      </c>
      <c r="K81" t="s">
        <v>442</v>
      </c>
      <c r="L81" s="1">
        <v>80</v>
      </c>
    </row>
    <row r="82" spans="1:12" x14ac:dyDescent="0.35">
      <c r="A82" s="5" t="s">
        <v>482</v>
      </c>
      <c r="B82" s="1" t="e" cm="1">
        <f t="array" aca="1" ref="B82:C82" ca="1">_xlfn.TEXTSPLIT(A82,",")</f>
        <v>#NAME?</v>
      </c>
      <c r="C82" s="1" t="e">
        <f ca="1"/>
        <v>#NAME?</v>
      </c>
      <c r="D82" s="1" t="e">
        <f t="shared" ca="1" si="10"/>
        <v>#NAME?</v>
      </c>
      <c r="E82" s="1" t="e">
        <f t="shared" ca="1" si="11"/>
        <v>#NAME?</v>
      </c>
      <c r="F82" s="1" t="e">
        <f t="shared" ca="1" si="12"/>
        <v>#NAME?</v>
      </c>
      <c r="G82" s="1" t="e">
        <f t="shared" ca="1" si="13"/>
        <v>#NAME?</v>
      </c>
      <c r="H82" s="1" t="str">
        <f t="shared" si="14"/>
        <v>fuchslocher, javier</v>
      </c>
      <c r="I82" s="1" t="s">
        <v>865</v>
      </c>
      <c r="J82" s="1">
        <f>VLOOKUP(I82,all!$N$2:$O$156,2,FALSE)</f>
        <v>81</v>
      </c>
      <c r="K82" t="s">
        <v>482</v>
      </c>
      <c r="L82" s="1">
        <v>81</v>
      </c>
    </row>
    <row r="83" spans="1:12" x14ac:dyDescent="0.35">
      <c r="A83" s="5" t="s">
        <v>444</v>
      </c>
      <c r="B83" s="1" t="e" cm="1">
        <f t="array" aca="1" ref="B83:C83" ca="1">_xlfn.TEXTSPLIT(A83,",")</f>
        <v>#NAME?</v>
      </c>
      <c r="C83" s="1" t="e">
        <f ca="1"/>
        <v>#NAME?</v>
      </c>
      <c r="D83" s="1" t="e">
        <f t="shared" ca="1" si="10"/>
        <v>#NAME?</v>
      </c>
      <c r="E83" s="1" t="e">
        <f t="shared" ca="1" si="11"/>
        <v>#NAME?</v>
      </c>
      <c r="F83" s="1" t="e">
        <f t="shared" ca="1" si="12"/>
        <v>#NAME?</v>
      </c>
      <c r="G83" s="1" t="e">
        <f t="shared" ca="1" si="13"/>
        <v>#NAME?</v>
      </c>
      <c r="H83" s="1" t="str">
        <f t="shared" si="14"/>
        <v>mella, jeniffer</v>
      </c>
      <c r="I83" s="1" t="s">
        <v>866</v>
      </c>
      <c r="J83" s="1">
        <f>VLOOKUP(I83,all!$N$2:$O$156,2,FALSE)</f>
        <v>82</v>
      </c>
      <c r="K83" t="s">
        <v>444</v>
      </c>
      <c r="L83" s="1">
        <v>82</v>
      </c>
    </row>
    <row r="84" spans="1:12" x14ac:dyDescent="0.35">
      <c r="A84" s="5" t="s">
        <v>533</v>
      </c>
      <c r="B84" s="1" t="e" cm="1">
        <f t="array" aca="1" ref="B84:C84" ca="1">_xlfn.TEXTSPLIT(A84,",")</f>
        <v>#NAME?</v>
      </c>
      <c r="C84" s="1" t="e">
        <f ca="1"/>
        <v>#NAME?</v>
      </c>
      <c r="D84" s="1" t="e">
        <f t="shared" ca="1" si="10"/>
        <v>#NAME?</v>
      </c>
      <c r="E84" s="1" t="e">
        <f t="shared" ca="1" si="11"/>
        <v>#NAME?</v>
      </c>
      <c r="F84" s="1" t="e">
        <f t="shared" ca="1" si="12"/>
        <v>#NAME?</v>
      </c>
      <c r="G84" s="1" t="e">
        <f t="shared" ca="1" si="13"/>
        <v>#NAME?</v>
      </c>
      <c r="H84" s="1" t="str">
        <f t="shared" si="14"/>
        <v>abarca, jorge</v>
      </c>
      <c r="I84" s="1" t="s">
        <v>867</v>
      </c>
      <c r="J84" s="1">
        <f>VLOOKUP(I84,all!$N$2:$O$156,2,FALSE)</f>
        <v>83</v>
      </c>
      <c r="K84" t="s">
        <v>533</v>
      </c>
      <c r="L84" s="1">
        <v>83</v>
      </c>
    </row>
    <row r="85" spans="1:12" x14ac:dyDescent="0.35">
      <c r="A85" s="5" t="s">
        <v>517</v>
      </c>
      <c r="B85" s="1" t="e" cm="1">
        <f t="array" aca="1" ref="B85:C85" ca="1">_xlfn.TEXTSPLIT(A85,",")</f>
        <v>#NAME?</v>
      </c>
      <c r="C85" s="1" t="e">
        <f ca="1"/>
        <v>#NAME?</v>
      </c>
      <c r="D85" s="1" t="e">
        <f t="shared" ca="1" si="10"/>
        <v>#NAME?</v>
      </c>
      <c r="E85" s="1" t="e">
        <f t="shared" ca="1" si="11"/>
        <v>#NAME?</v>
      </c>
      <c r="F85" s="1" t="e">
        <f t="shared" ca="1" si="12"/>
        <v>#NAME?</v>
      </c>
      <c r="G85" s="1" t="e">
        <f t="shared" ca="1" si="13"/>
        <v>#NAME?</v>
      </c>
      <c r="H85" s="1" t="str">
        <f t="shared" si="14"/>
        <v>baradit, jorge</v>
      </c>
      <c r="I85" s="1" t="s">
        <v>868</v>
      </c>
      <c r="J85" s="1">
        <f>VLOOKUP(I85,all!$N$2:$O$156,2,FALSE)</f>
        <v>84</v>
      </c>
      <c r="K85" t="s">
        <v>517</v>
      </c>
      <c r="L85" s="1">
        <v>84</v>
      </c>
    </row>
    <row r="86" spans="1:12" x14ac:dyDescent="0.35">
      <c r="A86" s="5" t="s">
        <v>523</v>
      </c>
      <c r="B86" s="1" t="e" cm="1">
        <f t="array" aca="1" ref="B86:C86" ca="1">_xlfn.TEXTSPLIT(A86,",")</f>
        <v>#NAME?</v>
      </c>
      <c r="C86" s="1" t="e">
        <f ca="1"/>
        <v>#NAME?</v>
      </c>
      <c r="D86" s="1" t="e">
        <f t="shared" ca="1" si="10"/>
        <v>#NAME?</v>
      </c>
      <c r="E86" s="1" t="e">
        <f t="shared" ca="1" si="11"/>
        <v>#NAME?</v>
      </c>
      <c r="F86" s="1" t="e">
        <f t="shared" ca="1" si="12"/>
        <v>#NAME?</v>
      </c>
      <c r="G86" s="1" t="e">
        <f t="shared" ca="1" si="13"/>
        <v>#NAME?</v>
      </c>
      <c r="H86" s="1" t="str">
        <f t="shared" si="14"/>
        <v>arancibia, jorge</v>
      </c>
      <c r="I86" s="1" t="s">
        <v>869</v>
      </c>
      <c r="J86" s="1">
        <f>VLOOKUP(I86,all!$N$2:$O$156,2,FALSE)</f>
        <v>85</v>
      </c>
      <c r="K86" t="s">
        <v>523</v>
      </c>
      <c r="L86" s="1">
        <v>85</v>
      </c>
    </row>
    <row r="87" spans="1:12" x14ac:dyDescent="0.35">
      <c r="A87" s="5" t="s">
        <v>447</v>
      </c>
      <c r="B87" s="1" t="e" cm="1">
        <f t="array" aca="1" ref="B87:C87" ca="1">_xlfn.TEXTSPLIT(A87,",")</f>
        <v>#NAME?</v>
      </c>
      <c r="C87" s="1" t="e">
        <f ca="1"/>
        <v>#NAME?</v>
      </c>
      <c r="D87" s="1" t="e">
        <f t="shared" ca="1" si="10"/>
        <v>#NAME?</v>
      </c>
      <c r="E87" s="1" t="e">
        <f t="shared" ca="1" si="11"/>
        <v>#NAME?</v>
      </c>
      <c r="F87" s="1" t="e">
        <f t="shared" ca="1" si="12"/>
        <v>#NAME?</v>
      </c>
      <c r="G87" s="1" t="e">
        <f t="shared" ca="1" si="13"/>
        <v>#NAME?</v>
      </c>
      <c r="H87" s="1" t="str">
        <f t="shared" si="14"/>
        <v>martín, juan josé</v>
      </c>
      <c r="I87" s="1" t="s">
        <v>870</v>
      </c>
      <c r="J87" s="1">
        <f>VLOOKUP(I87,all!$N$2:$O$156,2,FALSE)</f>
        <v>86</v>
      </c>
      <c r="K87" t="s">
        <v>447</v>
      </c>
      <c r="L87" s="1">
        <v>86</v>
      </c>
    </row>
    <row r="88" spans="1:12" x14ac:dyDescent="0.35">
      <c r="A88" s="5" t="s">
        <v>529</v>
      </c>
      <c r="B88" s="1" t="e" cm="1">
        <f t="array" aca="1" ref="B88:C88" ca="1">_xlfn.TEXTSPLIT(A88,",")</f>
        <v>#NAME?</v>
      </c>
      <c r="C88" s="1" t="e">
        <f ca="1"/>
        <v>#NAME?</v>
      </c>
      <c r="D88" s="1" t="e">
        <f t="shared" ca="1" si="10"/>
        <v>#NAME?</v>
      </c>
      <c r="E88" s="1" t="e">
        <f t="shared" ca="1" si="11"/>
        <v>#NAME?</v>
      </c>
      <c r="F88" s="1" t="e">
        <f t="shared" ca="1" si="12"/>
        <v>#NAME?</v>
      </c>
      <c r="G88" s="1" t="e">
        <f t="shared" ca="1" si="13"/>
        <v>#NAME?</v>
      </c>
      <c r="H88" s="1" t="str">
        <f t="shared" si="14"/>
        <v>alvarez, julio</v>
      </c>
      <c r="I88" s="1" t="s">
        <v>871</v>
      </c>
      <c r="J88" s="1">
        <f>VLOOKUP(I88,all!$N$2:$O$156,2,FALSE)</f>
        <v>87</v>
      </c>
      <c r="K88" t="s">
        <v>529</v>
      </c>
      <c r="L88" s="1">
        <v>87</v>
      </c>
    </row>
    <row r="89" spans="1:12" x14ac:dyDescent="0.35">
      <c r="A89" s="5" t="s">
        <v>438</v>
      </c>
      <c r="B89" s="1" t="e" cm="1">
        <f t="array" aca="1" ref="B89:C89" ca="1">_xlfn.TEXTSPLIT(A89,",")</f>
        <v>#NAME?</v>
      </c>
      <c r="C89" s="1" t="e">
        <f ca="1"/>
        <v>#NAME?</v>
      </c>
      <c r="D89" s="1" t="e">
        <f t="shared" ca="1" si="10"/>
        <v>#NAME?</v>
      </c>
      <c r="E89" s="1" t="e">
        <f t="shared" ca="1" si="11"/>
        <v>#NAME?</v>
      </c>
      <c r="F89" s="1" t="e">
        <f t="shared" ca="1" si="12"/>
        <v>#NAME?</v>
      </c>
      <c r="G89" s="1" t="e">
        <f t="shared" ca="1" si="13"/>
        <v>#NAME?</v>
      </c>
      <c r="H89" s="1" t="str">
        <f t="shared" si="14"/>
        <v>montealegre, katerine</v>
      </c>
      <c r="I89" s="1" t="s">
        <v>872</v>
      </c>
      <c r="J89" s="1">
        <f>VLOOKUP(I89,all!$N$2:$O$156,2,FALSE)</f>
        <v>88</v>
      </c>
      <c r="K89" t="s">
        <v>438</v>
      </c>
      <c r="L89" s="1">
        <v>88</v>
      </c>
    </row>
    <row r="90" spans="1:12" x14ac:dyDescent="0.35">
      <c r="A90" s="5" t="s">
        <v>475</v>
      </c>
      <c r="B90" s="1" t="e" cm="1">
        <f t="array" aca="1" ref="B90:C90" ca="1">_xlfn.TEXTSPLIT(A90,",")</f>
        <v>#NAME?</v>
      </c>
      <c r="C90" s="1" t="e">
        <f ca="1"/>
        <v>#NAME?</v>
      </c>
      <c r="D90" s="1" t="e">
        <f t="shared" ca="1" si="10"/>
        <v>#NAME?</v>
      </c>
      <c r="E90" s="1" t="e">
        <f t="shared" ca="1" si="11"/>
        <v>#NAME?</v>
      </c>
      <c r="F90" s="1" t="e">
        <f t="shared" ca="1" si="12"/>
        <v>#NAME?</v>
      </c>
      <c r="G90" s="1" t="e">
        <f t="shared" ca="1" si="13"/>
        <v>#NAME?</v>
      </c>
      <c r="H90" s="1" t="str">
        <f t="shared" si="14"/>
        <v>gonzález, lidia</v>
      </c>
      <c r="I90" s="1" t="s">
        <v>873</v>
      </c>
      <c r="J90" s="1">
        <f>VLOOKUP(I90,all!$N$2:$O$156,2,FALSE)</f>
        <v>89</v>
      </c>
      <c r="K90" t="s">
        <v>475</v>
      </c>
      <c r="L90" s="1">
        <v>89</v>
      </c>
    </row>
    <row r="91" spans="1:12" x14ac:dyDescent="0.35">
      <c r="A91" s="5" t="s">
        <v>389</v>
      </c>
      <c r="B91" s="1" t="e" cm="1">
        <f t="array" aca="1" ref="B91:C91" ca="1">_xlfn.TEXTSPLIT(A91,",")</f>
        <v>#NAME?</v>
      </c>
      <c r="C91" s="1" t="e">
        <f ca="1"/>
        <v>#NAME?</v>
      </c>
      <c r="D91" s="1" t="e">
        <f t="shared" ca="1" si="10"/>
        <v>#NAME?</v>
      </c>
      <c r="E91" s="1" t="e">
        <f t="shared" ca="1" si="11"/>
        <v>#NAME?</v>
      </c>
      <c r="F91" s="1" t="e">
        <f t="shared" ca="1" si="12"/>
        <v>#NAME?</v>
      </c>
      <c r="G91" s="1" t="e">
        <f t="shared" ca="1" si="13"/>
        <v>#NAME?</v>
      </c>
      <c r="H91" s="1" t="str">
        <f t="shared" si="14"/>
        <v>vergara, lisette</v>
      </c>
      <c r="I91" s="1" t="s">
        <v>874</v>
      </c>
      <c r="J91" s="1">
        <f>VLOOKUP(I91,all!$N$2:$O$156,2,FALSE)</f>
        <v>90</v>
      </c>
      <c r="K91" t="s">
        <v>389</v>
      </c>
      <c r="L91" s="1">
        <v>90</v>
      </c>
    </row>
    <row r="92" spans="1:12" x14ac:dyDescent="0.35">
      <c r="A92" s="5" t="s">
        <v>491</v>
      </c>
      <c r="B92" s="1" t="e" cm="1">
        <f t="array" aca="1" ref="B92:C92" ca="1">_xlfn.TEXTSPLIT(A92,",")</f>
        <v>#NAME?</v>
      </c>
      <c r="C92" s="1" t="e">
        <f ca="1"/>
        <v>#NAME?</v>
      </c>
      <c r="D92" s="1" t="e">
        <f t="shared" ca="1" si="10"/>
        <v>#NAME?</v>
      </c>
      <c r="E92" s="1" t="e">
        <f t="shared" ca="1" si="11"/>
        <v>#NAME?</v>
      </c>
      <c r="F92" s="1" t="e">
        <f t="shared" ca="1" si="12"/>
        <v>#NAME?</v>
      </c>
      <c r="G92" s="1" t="e">
        <f t="shared" ca="1" si="13"/>
        <v>#NAME?</v>
      </c>
      <c r="H92" s="1" t="str">
        <f t="shared" si="14"/>
        <v>céspedes, lorena</v>
      </c>
      <c r="I92" s="1" t="s">
        <v>875</v>
      </c>
      <c r="J92" s="1">
        <f>VLOOKUP(I92,all!$N$2:$O$156,2,FALSE)</f>
        <v>91</v>
      </c>
      <c r="K92" t="s">
        <v>491</v>
      </c>
      <c r="L92" s="1">
        <v>91</v>
      </c>
    </row>
    <row r="93" spans="1:12" x14ac:dyDescent="0.35">
      <c r="A93" s="5" t="s">
        <v>395</v>
      </c>
      <c r="B93" s="1" t="e" cm="1">
        <f t="array" aca="1" ref="B93:C93" ca="1">_xlfn.TEXTSPLIT(A93,",")</f>
        <v>#NAME?</v>
      </c>
      <c r="C93" s="1" t="e">
        <f ca="1"/>
        <v>#NAME?</v>
      </c>
      <c r="D93" s="1" t="e">
        <f t="shared" ca="1" si="10"/>
        <v>#NAME?</v>
      </c>
      <c r="E93" s="1" t="e">
        <f t="shared" ca="1" si="11"/>
        <v>#NAME?</v>
      </c>
      <c r="F93" s="1" t="e">
        <f t="shared" ca="1" si="12"/>
        <v>#NAME?</v>
      </c>
      <c r="G93" s="1" t="e">
        <f t="shared" ca="1" si="13"/>
        <v>#NAME?</v>
      </c>
      <c r="H93" s="1" t="str">
        <f t="shared" si="14"/>
        <v>vallejos, loreto</v>
      </c>
      <c r="I93" s="1" t="s">
        <v>876</v>
      </c>
      <c r="J93" s="1">
        <f>VLOOKUP(I93,all!$N$2:$O$156,2,FALSE)</f>
        <v>92</v>
      </c>
      <c r="K93" t="s">
        <v>395</v>
      </c>
      <c r="L93" s="1">
        <v>92</v>
      </c>
    </row>
    <row r="94" spans="1:12" x14ac:dyDescent="0.35">
      <c r="A94" s="5" t="s">
        <v>407</v>
      </c>
      <c r="B94" s="1" t="e" cm="1">
        <f t="array" aca="1" ref="B94:C94" ca="1">_xlfn.TEXTSPLIT(A94,",")</f>
        <v>#NAME?</v>
      </c>
      <c r="C94" s="1" t="e">
        <f ca="1"/>
        <v>#NAME?</v>
      </c>
      <c r="D94" s="1" t="e">
        <f t="shared" ca="1" si="10"/>
        <v>#NAME?</v>
      </c>
      <c r="E94" s="1" t="e">
        <f t="shared" ca="1" si="11"/>
        <v>#NAME?</v>
      </c>
      <c r="F94" s="1" t="e">
        <f t="shared" ca="1" si="12"/>
        <v>#NAME?</v>
      </c>
      <c r="G94" s="1" t="e">
        <f t="shared" ca="1" si="13"/>
        <v>#NAME?</v>
      </c>
      <c r="H94" s="1" t="str">
        <f t="shared" si="14"/>
        <v>silva, luciano</v>
      </c>
      <c r="I94" s="1" t="s">
        <v>877</v>
      </c>
      <c r="J94" s="1">
        <f>VLOOKUP(I94,all!$N$2:$O$156,2,FALSE)</f>
        <v>93</v>
      </c>
      <c r="K94" t="s">
        <v>407</v>
      </c>
      <c r="L94" s="1">
        <v>93</v>
      </c>
    </row>
    <row r="95" spans="1:12" x14ac:dyDescent="0.35">
      <c r="A95" s="5" t="s">
        <v>463</v>
      </c>
      <c r="B95" s="1" t="e" cm="1">
        <f t="array" aca="1" ref="B95:C95" ca="1">_xlfn.TEXTSPLIT(A95,",")</f>
        <v>#NAME?</v>
      </c>
      <c r="C95" s="1" t="e">
        <f ca="1"/>
        <v>#NAME?</v>
      </c>
      <c r="D95" s="1" t="e">
        <f t="shared" ca="1" si="10"/>
        <v>#NAME?</v>
      </c>
      <c r="E95" s="1" t="e">
        <f t="shared" ca="1" si="11"/>
        <v>#NAME?</v>
      </c>
      <c r="F95" s="1" t="e">
        <f t="shared" ca="1" si="12"/>
        <v>#NAME?</v>
      </c>
      <c r="G95" s="1" t="e">
        <f t="shared" ca="1" si="13"/>
        <v>#NAME?</v>
      </c>
      <c r="H95" s="1" t="str">
        <f t="shared" si="14"/>
        <v>jiménez, luis</v>
      </c>
      <c r="I95" s="1" t="s">
        <v>878</v>
      </c>
      <c r="J95" s="1">
        <f>VLOOKUP(I95,all!$N$2:$O$156,2,FALSE)</f>
        <v>94</v>
      </c>
      <c r="K95" t="s">
        <v>463</v>
      </c>
      <c r="L95" s="1">
        <v>94</v>
      </c>
    </row>
    <row r="96" spans="1:12" x14ac:dyDescent="0.35">
      <c r="A96" s="5" t="s">
        <v>445</v>
      </c>
      <c r="B96" s="1" t="e" cm="1">
        <f t="array" aca="1" ref="B96:C96" ca="1">_xlfn.TEXTSPLIT(A96,",")</f>
        <v>#NAME?</v>
      </c>
      <c r="C96" s="1" t="e">
        <f ca="1"/>
        <v>#NAME?</v>
      </c>
      <c r="D96" s="1" t="e">
        <f t="shared" ca="1" si="10"/>
        <v>#NAME?</v>
      </c>
      <c r="E96" s="1" t="e">
        <f t="shared" ca="1" si="11"/>
        <v>#NAME?</v>
      </c>
      <c r="F96" s="1" t="e">
        <f t="shared" ca="1" si="12"/>
        <v>#NAME?</v>
      </c>
      <c r="G96" s="1" t="e">
        <f t="shared" ca="1" si="13"/>
        <v>#NAME?</v>
      </c>
      <c r="H96" s="1" t="str">
        <f t="shared" si="14"/>
        <v>mayol, luis</v>
      </c>
      <c r="I96" s="1" t="s">
        <v>879</v>
      </c>
      <c r="J96" s="1">
        <f>VLOOKUP(I96,all!$N$2:$O$156,2,FALSE)</f>
        <v>95</v>
      </c>
      <c r="K96" t="s">
        <v>445</v>
      </c>
      <c r="L96" s="1">
        <v>95</v>
      </c>
    </row>
    <row r="97" spans="1:12" x14ac:dyDescent="0.35">
      <c r="A97" s="5" t="s">
        <v>379</v>
      </c>
      <c r="B97" s="1" t="e" cm="1">
        <f t="array" aca="1" ref="B97:C97" ca="1">_xlfn.TEXTSPLIT(A97,",")</f>
        <v>#NAME?</v>
      </c>
      <c r="C97" s="1" t="e">
        <f ca="1"/>
        <v>#NAME?</v>
      </c>
      <c r="D97" s="1" t="e">
        <f t="shared" ca="1" si="10"/>
        <v>#NAME?</v>
      </c>
      <c r="E97" s="1" t="e">
        <f t="shared" ca="1" si="11"/>
        <v>#NAME?</v>
      </c>
      <c r="F97" s="1" t="e">
        <f t="shared" ca="1" si="12"/>
        <v>#NAME?</v>
      </c>
      <c r="G97" s="1" t="e">
        <f t="shared" ca="1" si="13"/>
        <v>#NAME?</v>
      </c>
      <c r="H97" s="1" t="str">
        <f t="shared" si="14"/>
        <v>zúñiga, luis arturo</v>
      </c>
      <c r="I97" s="1" t="s">
        <v>880</v>
      </c>
      <c r="J97" s="1">
        <f>VLOOKUP(I97,all!$N$2:$O$156,2,FALSE)</f>
        <v>96</v>
      </c>
      <c r="K97" t="s">
        <v>379</v>
      </c>
      <c r="L97" s="1">
        <v>96</v>
      </c>
    </row>
    <row r="98" spans="1:12" x14ac:dyDescent="0.35">
      <c r="A98" s="5" t="s">
        <v>515</v>
      </c>
      <c r="B98" s="1" t="e" cm="1">
        <f t="array" aca="1" ref="B98:C98" ca="1">_xlfn.TEXTSPLIT(A98,",")</f>
        <v>#NAME?</v>
      </c>
      <c r="C98" s="1" t="e">
        <f ca="1"/>
        <v>#NAME?</v>
      </c>
      <c r="D98" s="1" t="e">
        <f t="shared" ref="D98:D129" ca="1" si="15">TRIM(B98)</f>
        <v>#NAME?</v>
      </c>
      <c r="E98" s="1" t="e">
        <f t="shared" ref="E98:E129" ca="1" si="16">TRIM(C98)</f>
        <v>#NAME?</v>
      </c>
      <c r="F98" s="1" t="e">
        <f t="shared" ref="F98:F129" ca="1" si="17">LOWER(D98)</f>
        <v>#NAME?</v>
      </c>
      <c r="G98" s="1" t="e">
        <f t="shared" ref="G98:G129" ca="1" si="18">LOWER(E98)</f>
        <v>#NAME?</v>
      </c>
      <c r="H98" s="1" t="str">
        <f t="shared" ref="H98:H129" si="19">LOWER(A98)</f>
        <v>barceló, luis</v>
      </c>
      <c r="I98" s="1" t="s">
        <v>881</v>
      </c>
      <c r="J98" s="1">
        <f>VLOOKUP(I98,all!$N$2:$O$156,2,FALSE)</f>
        <v>97</v>
      </c>
      <c r="K98" t="s">
        <v>515</v>
      </c>
      <c r="L98" s="1">
        <v>97</v>
      </c>
    </row>
    <row r="99" spans="1:12" x14ac:dyDescent="0.35">
      <c r="A99" s="5" t="s">
        <v>426</v>
      </c>
      <c r="B99" s="1" t="e" cm="1">
        <f t="array" aca="1" ref="B99:C99" ca="1">_xlfn.TEXTSPLIT(A99,",")</f>
        <v>#NAME?</v>
      </c>
      <c r="C99" s="1" t="e">
        <f ca="1"/>
        <v>#NAME?</v>
      </c>
      <c r="D99" s="1" t="e">
        <f t="shared" ca="1" si="15"/>
        <v>#NAME?</v>
      </c>
      <c r="E99" s="1" t="e">
        <f t="shared" ca="1" si="16"/>
        <v>#NAME?</v>
      </c>
      <c r="F99" s="1" t="e">
        <f t="shared" ca="1" si="17"/>
        <v>#NAME?</v>
      </c>
      <c r="G99" s="1" t="e">
        <f t="shared" ca="1" si="18"/>
        <v>#NAME?</v>
      </c>
      <c r="H99" s="1" t="str">
        <f t="shared" si="19"/>
        <v>pinto, malucha</v>
      </c>
      <c r="I99" s="1" t="s">
        <v>882</v>
      </c>
      <c r="J99" s="1">
        <f>VLOOKUP(I99,all!$N$2:$O$156,2,FALSE)</f>
        <v>98</v>
      </c>
      <c r="K99" t="s">
        <v>426</v>
      </c>
      <c r="L99" s="1">
        <v>98</v>
      </c>
    </row>
    <row r="100" spans="1:12" x14ac:dyDescent="0.35">
      <c r="A100" s="5" t="s">
        <v>428</v>
      </c>
      <c r="B100" s="1" t="e" cm="1">
        <f t="array" aca="1" ref="B100:C100" ca="1">_xlfn.TEXTSPLIT(A100,",")</f>
        <v>#NAME?</v>
      </c>
      <c r="C100" s="1" t="e">
        <f ca="1"/>
        <v>#NAME?</v>
      </c>
      <c r="D100" s="1" t="e">
        <f t="shared" ca="1" si="15"/>
        <v>#NAME?</v>
      </c>
      <c r="E100" s="1" t="e">
        <f t="shared" ca="1" si="16"/>
        <v>#NAME?</v>
      </c>
      <c r="F100" s="1" t="e">
        <f t="shared" ca="1" si="17"/>
        <v>#NAME?</v>
      </c>
      <c r="G100" s="1" t="e">
        <f t="shared" ca="1" si="18"/>
        <v>#NAME?</v>
      </c>
      <c r="H100" s="1" t="str">
        <f t="shared" si="19"/>
        <v>ossandón, manuel</v>
      </c>
      <c r="I100" s="1" t="s">
        <v>883</v>
      </c>
      <c r="J100" s="1">
        <f>VLOOKUP(I100,all!$N$2:$O$156,2,FALSE)</f>
        <v>99</v>
      </c>
      <c r="K100" t="s">
        <v>428</v>
      </c>
      <c r="L100" s="1">
        <v>99</v>
      </c>
    </row>
    <row r="101" spans="1:12" x14ac:dyDescent="0.35">
      <c r="A101" s="5" t="s">
        <v>383</v>
      </c>
      <c r="B101" s="1" t="e" cm="1">
        <f t="array" aca="1" ref="B101:C101" ca="1">_xlfn.TEXTSPLIT(A101,",")</f>
        <v>#NAME?</v>
      </c>
      <c r="C101" s="1" t="e">
        <f ca="1"/>
        <v>#NAME?</v>
      </c>
      <c r="D101" s="1" t="e">
        <f t="shared" ca="1" si="15"/>
        <v>#NAME?</v>
      </c>
      <c r="E101" s="1" t="e">
        <f t="shared" ca="1" si="16"/>
        <v>#NAME?</v>
      </c>
      <c r="F101" s="1" t="e">
        <f t="shared" ca="1" si="17"/>
        <v>#NAME?</v>
      </c>
      <c r="G101" s="1" t="e">
        <f t="shared" ca="1" si="18"/>
        <v>#NAME?</v>
      </c>
      <c r="H101" s="1" t="str">
        <f t="shared" si="19"/>
        <v>woldarsky, manuel</v>
      </c>
      <c r="I101" s="1" t="s">
        <v>884</v>
      </c>
      <c r="J101" s="1">
        <f>VLOOKUP(I101,all!$N$2:$O$156,2,FALSE)</f>
        <v>100</v>
      </c>
      <c r="K101" t="s">
        <v>383</v>
      </c>
      <c r="L101" s="1">
        <v>100</v>
      </c>
    </row>
    <row r="102" spans="1:12" x14ac:dyDescent="0.35">
      <c r="A102" s="5" t="s">
        <v>415</v>
      </c>
      <c r="B102" s="1" t="e" cm="1">
        <f t="array" aca="1" ref="B102:C102" ca="1">_xlfn.TEXTSPLIT(A102,",")</f>
        <v>#NAME?</v>
      </c>
      <c r="C102" s="1" t="e">
        <f ca="1"/>
        <v>#NAME?</v>
      </c>
      <c r="D102" s="1" t="e">
        <f t="shared" ca="1" si="15"/>
        <v>#NAME?</v>
      </c>
      <c r="E102" s="1" t="e">
        <f t="shared" ca="1" si="16"/>
        <v>#NAME?</v>
      </c>
      <c r="F102" s="1" t="e">
        <f t="shared" ca="1" si="17"/>
        <v>#NAME?</v>
      </c>
      <c r="G102" s="1" t="e">
        <f t="shared" ca="1" si="18"/>
        <v>#NAME?</v>
      </c>
      <c r="H102" s="1" t="str">
        <f t="shared" si="19"/>
        <v>royo, manuela</v>
      </c>
      <c r="I102" s="1" t="s">
        <v>885</v>
      </c>
      <c r="J102" s="1">
        <f>VLOOKUP(I102,all!$N$2:$O$156,2,FALSE)</f>
        <v>101</v>
      </c>
      <c r="K102" t="s">
        <v>415</v>
      </c>
      <c r="L102" s="1">
        <v>101</v>
      </c>
    </row>
    <row r="103" spans="1:12" x14ac:dyDescent="0.35">
      <c r="A103" s="5" t="s">
        <v>492</v>
      </c>
      <c r="B103" s="1" t="e" cm="1">
        <f t="array" aca="1" ref="B103:C103" ca="1">_xlfn.TEXTSPLIT(A103,",")</f>
        <v>#NAME?</v>
      </c>
      <c r="C103" s="1" t="e">
        <f ca="1"/>
        <v>#NAME?</v>
      </c>
      <c r="D103" s="1" t="e">
        <f t="shared" ca="1" si="15"/>
        <v>#NAME?</v>
      </c>
      <c r="E103" s="1" t="e">
        <f t="shared" ca="1" si="16"/>
        <v>#NAME?</v>
      </c>
      <c r="F103" s="1" t="e">
        <f t="shared" ca="1" si="17"/>
        <v>#NAME?</v>
      </c>
      <c r="G103" s="1" t="e">
        <f t="shared" ca="1" si="18"/>
        <v>#NAME?</v>
      </c>
      <c r="H103" s="1" t="str">
        <f t="shared" si="19"/>
        <v>cubillos, marcela</v>
      </c>
      <c r="I103" s="1" t="s">
        <v>886</v>
      </c>
      <c r="J103" s="1">
        <f>VLOOKUP(I103,all!$N$2:$O$156,2,FALSE)</f>
        <v>102</v>
      </c>
      <c r="K103" t="s">
        <v>492</v>
      </c>
      <c r="L103" s="1">
        <v>102</v>
      </c>
    </row>
    <row r="104" spans="1:12" x14ac:dyDescent="0.35">
      <c r="A104" s="5" t="s">
        <v>521</v>
      </c>
      <c r="B104" s="1" t="e" cm="1">
        <f t="array" aca="1" ref="B104:C104" ca="1">_xlfn.TEXTSPLIT(A104,",")</f>
        <v>#NAME?</v>
      </c>
      <c r="C104" s="1" t="e">
        <f ca="1"/>
        <v>#NAME?</v>
      </c>
      <c r="D104" s="1" t="e">
        <f t="shared" ca="1" si="15"/>
        <v>#NAME?</v>
      </c>
      <c r="E104" s="1" t="e">
        <f t="shared" ca="1" si="16"/>
        <v>#NAME?</v>
      </c>
      <c r="F104" s="1" t="e">
        <f t="shared" ca="1" si="17"/>
        <v>#NAME?</v>
      </c>
      <c r="G104" s="1" t="e">
        <f t="shared" ca="1" si="18"/>
        <v>#NAME?</v>
      </c>
      <c r="H104" s="1" t="str">
        <f t="shared" si="19"/>
        <v>arellano, marco</v>
      </c>
      <c r="I104" s="1" t="s">
        <v>887</v>
      </c>
      <c r="J104" s="1">
        <f>VLOOKUP(I104,all!$N$2:$O$156,2,FALSE)</f>
        <v>103</v>
      </c>
      <c r="K104" t="s">
        <v>521</v>
      </c>
      <c r="L104" s="1">
        <v>103</v>
      </c>
    </row>
    <row r="105" spans="1:12" x14ac:dyDescent="0.35">
      <c r="A105" s="5" t="s">
        <v>514</v>
      </c>
      <c r="B105" s="1" t="e" cm="1">
        <f t="array" aca="1" ref="B105:C105" ca="1">_xlfn.TEXTSPLIT(A105,",")</f>
        <v>#NAME?</v>
      </c>
      <c r="C105" s="1" t="e">
        <f ca="1"/>
        <v>#NAME?</v>
      </c>
      <c r="D105" s="1" t="e">
        <f t="shared" ca="1" si="15"/>
        <v>#NAME?</v>
      </c>
      <c r="E105" s="1" t="e">
        <f t="shared" ca="1" si="16"/>
        <v>#NAME?</v>
      </c>
      <c r="F105" s="1" t="e">
        <f t="shared" ca="1" si="17"/>
        <v>#NAME?</v>
      </c>
      <c r="G105" s="1" t="e">
        <f t="shared" ca="1" si="18"/>
        <v>#NAME?</v>
      </c>
      <c r="H105" s="1" t="str">
        <f t="shared" si="19"/>
        <v>barraza, marcos</v>
      </c>
      <c r="I105" s="1" t="s">
        <v>888</v>
      </c>
      <c r="J105" s="1">
        <f>VLOOKUP(I105,all!$N$2:$O$156,2,FALSE)</f>
        <v>104</v>
      </c>
      <c r="K105" t="s">
        <v>514</v>
      </c>
      <c r="L105" s="1">
        <v>104</v>
      </c>
    </row>
    <row r="106" spans="1:12" x14ac:dyDescent="0.35">
      <c r="A106" s="5" t="s">
        <v>394</v>
      </c>
      <c r="B106" s="1" t="e" cm="1">
        <f t="array" aca="1" ref="B106:C106" ca="1">_xlfn.TEXTSPLIT(A106,",")</f>
        <v>#NAME?</v>
      </c>
      <c r="C106" s="1" t="e">
        <f ca="1"/>
        <v>#NAME?</v>
      </c>
      <c r="D106" s="1" t="e">
        <f t="shared" ca="1" si="15"/>
        <v>#NAME?</v>
      </c>
      <c r="E106" s="1" t="e">
        <f t="shared" ca="1" si="16"/>
        <v>#NAME?</v>
      </c>
      <c r="F106" s="1" t="e">
        <f t="shared" ca="1" si="17"/>
        <v>#NAME?</v>
      </c>
      <c r="G106" s="1" t="e">
        <f t="shared" ca="1" si="18"/>
        <v>#NAME?</v>
      </c>
      <c r="H106" s="1" t="str">
        <f t="shared" si="19"/>
        <v>vargas, margarita</v>
      </c>
      <c r="I106" s="1" t="s">
        <v>889</v>
      </c>
      <c r="J106" s="1">
        <f>VLOOKUP(I106,all!$N$2:$O$156,2,FALSE)</f>
        <v>105</v>
      </c>
      <c r="K106" t="s">
        <v>394</v>
      </c>
      <c r="L106" s="1">
        <v>105</v>
      </c>
    </row>
    <row r="107" spans="1:12" x14ac:dyDescent="0.35">
      <c r="A107" s="5" t="s">
        <v>403</v>
      </c>
      <c r="B107" s="1" t="e" cm="1">
        <f t="array" aca="1" ref="B107:C107" ca="1">_xlfn.TEXTSPLIT(A107,",")</f>
        <v>#NAME?</v>
      </c>
      <c r="C107" s="1" t="e">
        <f ca="1"/>
        <v>#NAME?</v>
      </c>
      <c r="D107" s="1" t="e">
        <f t="shared" ca="1" si="15"/>
        <v>#NAME?</v>
      </c>
      <c r="E107" s="1" t="e">
        <f t="shared" ca="1" si="16"/>
        <v>#NAME?</v>
      </c>
      <c r="F107" s="1" t="e">
        <f t="shared" ca="1" si="17"/>
        <v>#NAME?</v>
      </c>
      <c r="G107" s="1" t="e">
        <f t="shared" ca="1" si="18"/>
        <v>#NAME?</v>
      </c>
      <c r="H107" s="1" t="str">
        <f t="shared" si="19"/>
        <v>tepper, maría angélica</v>
      </c>
      <c r="I107" s="1" t="s">
        <v>890</v>
      </c>
      <c r="J107" s="1">
        <f>VLOOKUP(I107,all!$N$2:$O$156,2,FALSE)</f>
        <v>106</v>
      </c>
      <c r="K107" t="s">
        <v>403</v>
      </c>
      <c r="L107" s="1">
        <v>106</v>
      </c>
    </row>
    <row r="108" spans="1:12" x14ac:dyDescent="0.35">
      <c r="A108" s="5" t="s">
        <v>400</v>
      </c>
      <c r="B108" s="1" t="e" cm="1">
        <f t="array" aca="1" ref="B108:C108" ca="1">_xlfn.TEXTSPLIT(A108,",")</f>
        <v>#NAME?</v>
      </c>
      <c r="C108" s="1" t="e">
        <f ca="1"/>
        <v>#NAME?</v>
      </c>
      <c r="D108" s="1" t="e">
        <f t="shared" ca="1" si="15"/>
        <v>#NAME?</v>
      </c>
      <c r="E108" s="1" t="e">
        <f t="shared" ca="1" si="16"/>
        <v>#NAME?</v>
      </c>
      <c r="F108" s="1" t="e">
        <f t="shared" ca="1" si="17"/>
        <v>#NAME?</v>
      </c>
      <c r="G108" s="1" t="e">
        <f t="shared" ca="1" si="18"/>
        <v>#NAME?</v>
      </c>
      <c r="H108" s="1" t="str">
        <f t="shared" si="19"/>
        <v>ubilla, maría cecilia</v>
      </c>
      <c r="I108" s="1" t="s">
        <v>891</v>
      </c>
      <c r="J108" s="1">
        <f>VLOOKUP(I108,all!$N$2:$O$156,2,FALSE)</f>
        <v>107</v>
      </c>
      <c r="K108" t="s">
        <v>400</v>
      </c>
      <c r="L108" s="1">
        <v>107</v>
      </c>
    </row>
    <row r="109" spans="1:12" x14ac:dyDescent="0.35">
      <c r="A109" s="5" t="s">
        <v>421</v>
      </c>
      <c r="B109" s="1" t="e" cm="1">
        <f t="array" aca="1" ref="B109:C109" ca="1">_xlfn.TEXTSPLIT(A109,",")</f>
        <v>#NAME?</v>
      </c>
      <c r="C109" s="1" t="e">
        <f ca="1"/>
        <v>#NAME?</v>
      </c>
      <c r="D109" s="1" t="e">
        <f t="shared" ca="1" si="15"/>
        <v>#NAME?</v>
      </c>
      <c r="E109" s="1" t="e">
        <f t="shared" ca="1" si="16"/>
        <v>#NAME?</v>
      </c>
      <c r="F109" s="1" t="e">
        <f t="shared" ca="1" si="17"/>
        <v>#NAME?</v>
      </c>
      <c r="G109" s="1" t="e">
        <f t="shared" ca="1" si="18"/>
        <v>#NAME?</v>
      </c>
      <c r="H109" s="1" t="str">
        <f t="shared" si="19"/>
        <v>quinteros, maría elisa</v>
      </c>
      <c r="I109" s="1" t="s">
        <v>892</v>
      </c>
      <c r="J109" s="1">
        <f>VLOOKUP(I109,all!$N$2:$O$156,2,FALSE)</f>
        <v>108</v>
      </c>
      <c r="K109" t="s">
        <v>421</v>
      </c>
      <c r="L109" s="1">
        <v>108</v>
      </c>
    </row>
    <row r="110" spans="1:12" x14ac:dyDescent="0.35">
      <c r="A110" s="5" t="s">
        <v>427</v>
      </c>
      <c r="B110" s="1" t="e" cm="1">
        <f t="array" aca="1" ref="B110:C110" ca="1">_xlfn.TEXTSPLIT(A110,",")</f>
        <v>#NAME?</v>
      </c>
      <c r="C110" s="1" t="e">
        <f ca="1"/>
        <v>#NAME?</v>
      </c>
      <c r="D110" s="1" t="e">
        <f t="shared" ca="1" si="15"/>
        <v>#NAME?</v>
      </c>
      <c r="E110" s="1" t="e">
        <f t="shared" ca="1" si="16"/>
        <v>#NAME?</v>
      </c>
      <c r="F110" s="1" t="e">
        <f t="shared" ca="1" si="17"/>
        <v>#NAME?</v>
      </c>
      <c r="G110" s="1" t="e">
        <f t="shared" ca="1" si="18"/>
        <v>#NAME?</v>
      </c>
      <c r="H110" s="1" t="str">
        <f t="shared" si="19"/>
        <v>oyarzún, maría josé</v>
      </c>
      <c r="I110" s="1" t="s">
        <v>893</v>
      </c>
      <c r="J110" s="1">
        <f>VLOOKUP(I110,all!$N$2:$O$156,2,FALSE)</f>
        <v>109</v>
      </c>
      <c r="K110" t="s">
        <v>427</v>
      </c>
      <c r="L110" s="1">
        <v>109</v>
      </c>
    </row>
    <row r="111" spans="1:12" x14ac:dyDescent="0.35">
      <c r="A111" s="5" t="s">
        <v>418</v>
      </c>
      <c r="B111" s="1" t="e" cm="1">
        <f t="array" aca="1" ref="B111:C111" ca="1">_xlfn.TEXTSPLIT(A111,",")</f>
        <v>#NAME?</v>
      </c>
      <c r="C111" s="1" t="e">
        <f ca="1"/>
        <v>#NAME?</v>
      </c>
      <c r="D111" s="1" t="e">
        <f t="shared" ca="1" si="15"/>
        <v>#NAME?</v>
      </c>
      <c r="E111" s="1" t="e">
        <f t="shared" ca="1" si="16"/>
        <v>#NAME?</v>
      </c>
      <c r="F111" s="1" t="e">
        <f t="shared" ca="1" si="17"/>
        <v>#NAME?</v>
      </c>
      <c r="G111" s="1" t="e">
        <f t="shared" ca="1" si="18"/>
        <v>#NAME?</v>
      </c>
      <c r="H111" s="1" t="str">
        <f t="shared" si="19"/>
        <v>rivera, maría magdalena</v>
      </c>
      <c r="I111" s="1" t="s">
        <v>894</v>
      </c>
      <c r="J111" s="1">
        <f>VLOOKUP(I111,all!$N$2:$O$156,2,FALSE)</f>
        <v>110</v>
      </c>
      <c r="K111" t="s">
        <v>418</v>
      </c>
      <c r="L111" s="1">
        <v>110</v>
      </c>
    </row>
    <row r="112" spans="1:12" x14ac:dyDescent="0.35">
      <c r="A112" s="5" t="s">
        <v>419</v>
      </c>
      <c r="B112" s="1" t="e" cm="1">
        <f t="array" aca="1" ref="B112:C112" ca="1">_xlfn.TEXTSPLIT(A112,",")</f>
        <v>#NAME?</v>
      </c>
      <c r="C112" s="1" t="e">
        <f ca="1"/>
        <v>#NAME?</v>
      </c>
      <c r="D112" s="1" t="e">
        <f t="shared" ca="1" si="15"/>
        <v>#NAME?</v>
      </c>
      <c r="E112" s="1" t="e">
        <f t="shared" ca="1" si="16"/>
        <v>#NAME?</v>
      </c>
      <c r="F112" s="1" t="e">
        <f t="shared" ca="1" si="17"/>
        <v>#NAME?</v>
      </c>
      <c r="G112" s="1" t="e">
        <f t="shared" ca="1" si="18"/>
        <v>#NAME?</v>
      </c>
      <c r="H112" s="1" t="str">
        <f t="shared" si="19"/>
        <v>reyes, maría ramona</v>
      </c>
      <c r="I112" s="1" t="s">
        <v>895</v>
      </c>
      <c r="J112" s="1">
        <f>VLOOKUP(I112,all!$N$2:$O$156,2,FALSE)</f>
        <v>111</v>
      </c>
      <c r="K112" t="s">
        <v>419</v>
      </c>
      <c r="L112" s="1">
        <v>111</v>
      </c>
    </row>
    <row r="113" spans="1:12" x14ac:dyDescent="0.35">
      <c r="A113" s="5" t="s">
        <v>502</v>
      </c>
      <c r="B113" s="1" t="e" cm="1">
        <f t="array" aca="1" ref="B113:C113" ca="1">_xlfn.TEXTSPLIT(A113,",")</f>
        <v>#NAME?</v>
      </c>
      <c r="C113" s="1" t="e">
        <f ca="1"/>
        <v>#NAME?</v>
      </c>
      <c r="D113" s="1" t="e">
        <f t="shared" ca="1" si="15"/>
        <v>#NAME?</v>
      </c>
      <c r="E113" s="1" t="e">
        <f t="shared" ca="1" si="16"/>
        <v>#NAME?</v>
      </c>
      <c r="F113" s="1" t="e">
        <f t="shared" ca="1" si="17"/>
        <v>#NAME?</v>
      </c>
      <c r="G113" s="1" t="e">
        <f t="shared" ca="1" si="18"/>
        <v>#NAME?</v>
      </c>
      <c r="H113" s="1" t="str">
        <f t="shared" si="19"/>
        <v>castillo, maría trinidad</v>
      </c>
      <c r="I113" s="1" t="s">
        <v>896</v>
      </c>
      <c r="J113" s="1">
        <f>VLOOKUP(I113,all!$N$2:$O$156,2,FALSE)</f>
        <v>112</v>
      </c>
      <c r="K113" t="s">
        <v>502</v>
      </c>
      <c r="L113" s="1">
        <v>112</v>
      </c>
    </row>
    <row r="114" spans="1:12" x14ac:dyDescent="0.35">
      <c r="A114" s="5" t="s">
        <v>408</v>
      </c>
      <c r="B114" s="1" t="e" cm="1">
        <f t="array" aca="1" ref="B114:C114" ca="1">_xlfn.TEXTSPLIT(A114,",")</f>
        <v>#NAME?</v>
      </c>
      <c r="C114" s="1" t="e">
        <f ca="1"/>
        <v>#NAME?</v>
      </c>
      <c r="D114" s="1" t="e">
        <f t="shared" ca="1" si="15"/>
        <v>#NAME?</v>
      </c>
      <c r="E114" s="1" t="e">
        <f t="shared" ca="1" si="16"/>
        <v>#NAME?</v>
      </c>
      <c r="F114" s="1" t="e">
        <f t="shared" ca="1" si="17"/>
        <v>#NAME?</v>
      </c>
      <c r="G114" s="1" t="e">
        <f t="shared" ca="1" si="18"/>
        <v>#NAME?</v>
      </c>
      <c r="H114" s="1" t="str">
        <f t="shared" si="19"/>
        <v>serey, mariela</v>
      </c>
      <c r="I114" s="1" t="s">
        <v>897</v>
      </c>
      <c r="J114" s="1">
        <f>VLOOKUP(I114,all!$N$2:$O$156,2,FALSE)</f>
        <v>113</v>
      </c>
      <c r="K114" t="s">
        <v>408</v>
      </c>
      <c r="L114" s="1">
        <v>113</v>
      </c>
    </row>
    <row r="115" spans="1:12" x14ac:dyDescent="0.35">
      <c r="A115" s="5" t="s">
        <v>393</v>
      </c>
      <c r="B115" s="1" t="e" cm="1">
        <f t="array" aca="1" ref="B115:C115" ca="1">_xlfn.TEXTSPLIT(A115,",")</f>
        <v>#NAME?</v>
      </c>
      <c r="C115" s="1" t="e">
        <f ca="1"/>
        <v>#NAME?</v>
      </c>
      <c r="D115" s="1" t="e">
        <f t="shared" ca="1" si="15"/>
        <v>#NAME?</v>
      </c>
      <c r="E115" s="1" t="e">
        <f t="shared" ca="1" si="16"/>
        <v>#NAME?</v>
      </c>
      <c r="F115" s="1" t="e">
        <f t="shared" ca="1" si="17"/>
        <v>#NAME?</v>
      </c>
      <c r="G115" s="1" t="e">
        <f t="shared" ca="1" si="18"/>
        <v>#NAME?</v>
      </c>
      <c r="H115" s="1" t="str">
        <f t="shared" si="19"/>
        <v>vargas, mario</v>
      </c>
      <c r="I115" s="1" t="s">
        <v>898</v>
      </c>
      <c r="J115" s="1">
        <f>VLOOKUP(I115,all!$N$2:$O$156,2,FALSE)</f>
        <v>114</v>
      </c>
      <c r="K115" t="s">
        <v>393</v>
      </c>
      <c r="L115" s="1">
        <v>114</v>
      </c>
    </row>
    <row r="116" spans="1:12" x14ac:dyDescent="0.35">
      <c r="A116" s="5" t="s">
        <v>429</v>
      </c>
      <c r="B116" s="1" t="e" cm="1">
        <f t="array" aca="1" ref="B116:C116" ca="1">_xlfn.TEXTSPLIT(A116,",")</f>
        <v>#NAME?</v>
      </c>
      <c r="C116" s="1" t="e">
        <f ca="1"/>
        <v>#NAME?</v>
      </c>
      <c r="D116" s="1" t="e">
        <f t="shared" ca="1" si="15"/>
        <v>#NAME?</v>
      </c>
      <c r="E116" s="1" t="e">
        <f t="shared" ca="1" si="16"/>
        <v>#NAME?</v>
      </c>
      <c r="F116" s="1" t="e">
        <f t="shared" ca="1" si="17"/>
        <v>#NAME?</v>
      </c>
      <c r="G116" s="1" t="e">
        <f t="shared" ca="1" si="18"/>
        <v>#NAME?</v>
      </c>
      <c r="H116" s="1" t="str">
        <f t="shared" si="19"/>
        <v>orellana, matías</v>
      </c>
      <c r="I116" s="1" t="s">
        <v>899</v>
      </c>
      <c r="J116" s="1">
        <f>VLOOKUP(I116,all!$N$2:$O$156,2,FALSE)</f>
        <v>115</v>
      </c>
      <c r="K116" t="s">
        <v>429</v>
      </c>
      <c r="L116" s="1">
        <v>115</v>
      </c>
    </row>
    <row r="117" spans="1:12" x14ac:dyDescent="0.35">
      <c r="A117" s="5" t="s">
        <v>490</v>
      </c>
      <c r="B117" s="1" t="e" cm="1">
        <f t="array" aca="1" ref="B117:C117" ca="1">_xlfn.TEXTSPLIT(A117,",")</f>
        <v>#NAME?</v>
      </c>
      <c r="C117" s="1" t="e">
        <f ca="1"/>
        <v>#NAME?</v>
      </c>
      <c r="D117" s="1" t="e">
        <f t="shared" ca="1" si="15"/>
        <v>#NAME?</v>
      </c>
      <c r="E117" s="1" t="e">
        <f t="shared" ca="1" si="16"/>
        <v>#NAME?</v>
      </c>
      <c r="F117" s="1" t="e">
        <f t="shared" ca="1" si="17"/>
        <v>#NAME?</v>
      </c>
      <c r="G117" s="1" t="e">
        <f t="shared" ca="1" si="18"/>
        <v>#NAME?</v>
      </c>
      <c r="H117" s="1" t="str">
        <f t="shared" si="19"/>
        <v>daza, mauricio</v>
      </c>
      <c r="I117" s="1" t="s">
        <v>900</v>
      </c>
      <c r="J117" s="1">
        <f>VLOOKUP(I117,all!$N$2:$O$156,2,FALSE)</f>
        <v>116</v>
      </c>
      <c r="K117" t="s">
        <v>490</v>
      </c>
      <c r="L117" s="1">
        <v>116</v>
      </c>
    </row>
    <row r="118" spans="1:12" x14ac:dyDescent="0.35">
      <c r="A118" s="5" t="s">
        <v>465</v>
      </c>
      <c r="B118" s="1" t="e" cm="1">
        <f t="array" aca="1" ref="B118:C118" ca="1">_xlfn.TEXTSPLIT(A118,",")</f>
        <v>#NAME?</v>
      </c>
      <c r="C118" s="1" t="e">
        <f ca="1"/>
        <v>#NAME?</v>
      </c>
      <c r="D118" s="1" t="e">
        <f t="shared" ca="1" si="15"/>
        <v>#NAME?</v>
      </c>
      <c r="E118" s="1" t="e">
        <f t="shared" ca="1" si="16"/>
        <v>#NAME?</v>
      </c>
      <c r="F118" s="1" t="e">
        <f t="shared" ca="1" si="17"/>
        <v>#NAME?</v>
      </c>
      <c r="G118" s="1" t="e">
        <f t="shared" ca="1" si="18"/>
        <v>#NAME?</v>
      </c>
      <c r="H118" s="1" t="str">
        <f t="shared" si="19"/>
        <v>hurtado, maximiliano</v>
      </c>
      <c r="I118" s="1" t="s">
        <v>901</v>
      </c>
      <c r="J118" s="1">
        <f>VLOOKUP(I118,all!$N$2:$O$156,2,FALSE)</f>
        <v>117</v>
      </c>
      <c r="K118" t="s">
        <v>465</v>
      </c>
      <c r="L118" s="1">
        <v>117</v>
      </c>
    </row>
    <row r="119" spans="1:12" x14ac:dyDescent="0.35">
      <c r="A119" s="5" t="s">
        <v>512</v>
      </c>
      <c r="B119" s="1" t="e" cm="1">
        <f t="array" aca="1" ref="B119:C119" ca="1">_xlfn.TEXTSPLIT(A119,",")</f>
        <v>#NAME?</v>
      </c>
      <c r="C119" s="1" t="e">
        <f ca="1"/>
        <v>#NAME?</v>
      </c>
      <c r="D119" s="1" t="e">
        <f t="shared" ca="1" si="15"/>
        <v>#NAME?</v>
      </c>
      <c r="E119" s="1" t="e">
        <f t="shared" ca="1" si="16"/>
        <v>#NAME?</v>
      </c>
      <c r="F119" s="1" t="e">
        <f t="shared" ca="1" si="17"/>
        <v>#NAME?</v>
      </c>
      <c r="G119" s="1" t="e">
        <f t="shared" ca="1" si="18"/>
        <v>#NAME?</v>
      </c>
      <c r="H119" s="1" t="str">
        <f t="shared" si="19"/>
        <v>botto, miguel ángel</v>
      </c>
      <c r="I119" s="1" t="s">
        <v>902</v>
      </c>
      <c r="J119" s="1">
        <f>VLOOKUP(I119,all!$N$2:$O$156,2,FALSE)</f>
        <v>118</v>
      </c>
      <c r="K119" t="s">
        <v>512</v>
      </c>
      <c r="L119" s="1">
        <v>118</v>
      </c>
    </row>
    <row r="120" spans="1:12" x14ac:dyDescent="0.35">
      <c r="A120" s="5" t="s">
        <v>468</v>
      </c>
      <c r="B120" s="1" t="e" cm="1">
        <f t="array" aca="1" ref="B120:C120" ca="1">_xlfn.TEXTSPLIT(A120,",")</f>
        <v>#NAME?</v>
      </c>
      <c r="C120" s="1" t="e">
        <f ca="1"/>
        <v>#NAME?</v>
      </c>
      <c r="D120" s="1" t="e">
        <f t="shared" ca="1" si="15"/>
        <v>#NAME?</v>
      </c>
      <c r="E120" s="1" t="e">
        <f t="shared" ca="1" si="16"/>
        <v>#NAME?</v>
      </c>
      <c r="F120" s="1" t="e">
        <f t="shared" ca="1" si="17"/>
        <v>#NAME?</v>
      </c>
      <c r="G120" s="1" t="e">
        <f t="shared" ca="1" si="18"/>
        <v>#NAME?</v>
      </c>
      <c r="H120" s="1" t="str">
        <f t="shared" si="19"/>
        <v>henríquez, natalia</v>
      </c>
      <c r="I120" s="1" t="s">
        <v>903</v>
      </c>
      <c r="J120" s="1">
        <f>VLOOKUP(I120,all!$N$2:$O$156,2,FALSE)</f>
        <v>119</v>
      </c>
      <c r="K120" t="s">
        <v>468</v>
      </c>
      <c r="L120" s="1">
        <v>119</v>
      </c>
    </row>
    <row r="121" spans="1:12" x14ac:dyDescent="0.35">
      <c r="A121" s="5" t="s">
        <v>453</v>
      </c>
      <c r="B121" s="1" t="e" cm="1">
        <f t="array" aca="1" ref="B121:C121" ca="1">_xlfn.TEXTSPLIT(A121,",")</f>
        <v>#NAME?</v>
      </c>
      <c r="C121" s="1" t="e">
        <f ca="1"/>
        <v>#NAME?</v>
      </c>
      <c r="D121" s="1" t="e">
        <f t="shared" ca="1" si="15"/>
        <v>#NAME?</v>
      </c>
      <c r="E121" s="1" t="e">
        <f t="shared" ca="1" si="16"/>
        <v>#NAME?</v>
      </c>
      <c r="F121" s="1" t="e">
        <f t="shared" ca="1" si="17"/>
        <v>#NAME?</v>
      </c>
      <c r="G121" s="1" t="e">
        <f t="shared" ca="1" si="18"/>
        <v>#NAME?</v>
      </c>
      <c r="H121" s="1" t="str">
        <f t="shared" si="19"/>
        <v>llanquileo, natividad</v>
      </c>
      <c r="I121" s="1" t="s">
        <v>904</v>
      </c>
      <c r="J121" s="1">
        <f>VLOOKUP(I121,all!$N$2:$O$156,2,FALSE)</f>
        <v>120</v>
      </c>
      <c r="K121" t="s">
        <v>453</v>
      </c>
      <c r="L121" s="1">
        <v>120</v>
      </c>
    </row>
    <row r="122" spans="1:12" x14ac:dyDescent="0.35">
      <c r="A122" s="5" t="s">
        <v>431</v>
      </c>
      <c r="B122" s="1" t="e" cm="1">
        <f t="array" aca="1" ref="B122:C122" ca="1">_xlfn.TEXTSPLIT(A122,",")</f>
        <v>#NAME?</v>
      </c>
      <c r="C122" s="1" t="e">
        <f ca="1"/>
        <v>#NAME?</v>
      </c>
      <c r="D122" s="1" t="e">
        <f t="shared" ca="1" si="15"/>
        <v>#NAME?</v>
      </c>
      <c r="E122" s="1" t="e">
        <f t="shared" ca="1" si="16"/>
        <v>#NAME?</v>
      </c>
      <c r="F122" s="1" t="e">
        <f t="shared" ca="1" si="17"/>
        <v>#NAME?</v>
      </c>
      <c r="G122" s="1" t="e">
        <f t="shared" ca="1" si="18"/>
        <v>#NAME?</v>
      </c>
      <c r="H122" s="1" t="str">
        <f t="shared" si="19"/>
        <v>núñez, nicolás</v>
      </c>
      <c r="I122" s="1" t="s">
        <v>905</v>
      </c>
      <c r="J122" s="1">
        <f>VLOOKUP(I122,all!$N$2:$O$156,2,FALSE)</f>
        <v>121</v>
      </c>
      <c r="K122" t="s">
        <v>431</v>
      </c>
      <c r="L122" s="1">
        <v>121</v>
      </c>
    </row>
    <row r="123" spans="1:12" x14ac:dyDescent="0.35">
      <c r="A123" s="5" t="s">
        <v>401</v>
      </c>
      <c r="B123" s="1" t="e" cm="1">
        <f t="array" aca="1" ref="B123:C123" ca="1">_xlfn.TEXTSPLIT(A123,",")</f>
        <v>#NAME?</v>
      </c>
      <c r="C123" s="1" t="e">
        <f ca="1"/>
        <v>#NAME?</v>
      </c>
      <c r="D123" s="1" t="e">
        <f t="shared" ca="1" si="15"/>
        <v>#NAME?</v>
      </c>
      <c r="E123" s="1" t="e">
        <f t="shared" ca="1" si="16"/>
        <v>#NAME?</v>
      </c>
      <c r="F123" s="1" t="e">
        <f t="shared" ca="1" si="17"/>
        <v>#NAME?</v>
      </c>
      <c r="G123" s="1" t="e">
        <f t="shared" ca="1" si="18"/>
        <v>#NAME?</v>
      </c>
      <c r="H123" s="1" t="str">
        <f t="shared" si="19"/>
        <v>toloza, pablo</v>
      </c>
      <c r="I123" s="1" t="s">
        <v>906</v>
      </c>
      <c r="J123" s="1">
        <f>VLOOKUP(I123,all!$N$2:$O$156,2,FALSE)</f>
        <v>122</v>
      </c>
      <c r="K123" t="s">
        <v>401</v>
      </c>
      <c r="L123" s="1">
        <v>122</v>
      </c>
    </row>
    <row r="124" spans="1:12" x14ac:dyDescent="0.35">
      <c r="A124" s="5" t="s">
        <v>473</v>
      </c>
      <c r="B124" s="1" t="e" cm="1">
        <f t="array" aca="1" ref="B124:C124" ca="1">_xlfn.TEXTSPLIT(A124,",")</f>
        <v>#NAME?</v>
      </c>
      <c r="C124" s="1" t="e">
        <f ca="1"/>
        <v>#NAME?</v>
      </c>
      <c r="D124" s="1" t="e">
        <f t="shared" ca="1" si="15"/>
        <v>#NAME?</v>
      </c>
      <c r="E124" s="1" t="e">
        <f t="shared" ca="1" si="16"/>
        <v>#NAME?</v>
      </c>
      <c r="F124" s="1" t="e">
        <f t="shared" ca="1" si="17"/>
        <v>#NAME?</v>
      </c>
      <c r="G124" s="1" t="e">
        <f t="shared" ca="1" si="18"/>
        <v>#NAME?</v>
      </c>
      <c r="H124" s="1" t="str">
        <f t="shared" si="19"/>
        <v>grandón, paola</v>
      </c>
      <c r="I124" s="1" t="s">
        <v>907</v>
      </c>
      <c r="J124" s="1">
        <f>VLOOKUP(I124,all!$N$2:$O$156,2,FALSE)</f>
        <v>123</v>
      </c>
      <c r="K124" t="s">
        <v>473</v>
      </c>
      <c r="L124" s="1">
        <v>123</v>
      </c>
    </row>
    <row r="125" spans="1:12" x14ac:dyDescent="0.35">
      <c r="A125" s="5" t="s">
        <v>459</v>
      </c>
      <c r="B125" s="1" t="e" cm="1">
        <f t="array" aca="1" ref="B125:C125" ca="1">_xlfn.TEXTSPLIT(A125,",")</f>
        <v>#NAME?</v>
      </c>
      <c r="C125" s="1" t="e">
        <f ca="1"/>
        <v>#NAME?</v>
      </c>
      <c r="D125" s="1" t="e">
        <f t="shared" ca="1" si="15"/>
        <v>#NAME?</v>
      </c>
      <c r="E125" s="1" t="e">
        <f t="shared" ca="1" si="16"/>
        <v>#NAME?</v>
      </c>
      <c r="F125" s="1" t="e">
        <f t="shared" ca="1" si="17"/>
        <v>#NAME?</v>
      </c>
      <c r="G125" s="1" t="e">
        <f t="shared" ca="1" si="18"/>
        <v>#NAME?</v>
      </c>
      <c r="H125" s="1" t="str">
        <f t="shared" si="19"/>
        <v>labra, patricia</v>
      </c>
      <c r="I125" s="1" t="s">
        <v>908</v>
      </c>
      <c r="J125" s="1">
        <f>VLOOKUP(I125,all!$N$2:$O$156,2,FALSE)</f>
        <v>124</v>
      </c>
      <c r="K125" t="s">
        <v>459</v>
      </c>
      <c r="L125" s="1">
        <v>124</v>
      </c>
    </row>
    <row r="126" spans="1:12" x14ac:dyDescent="0.35">
      <c r="A126" s="5" t="s">
        <v>425</v>
      </c>
      <c r="B126" s="1" t="e" cm="1">
        <f t="array" aca="1" ref="B126:C126" ca="1">_xlfn.TEXTSPLIT(A126,",")</f>
        <v>#NAME?</v>
      </c>
      <c r="C126" s="1" t="e">
        <f ca="1"/>
        <v>#NAME?</v>
      </c>
      <c r="D126" s="1" t="e">
        <f t="shared" ca="1" si="15"/>
        <v>#NAME?</v>
      </c>
      <c r="E126" s="1" t="e">
        <f t="shared" ca="1" si="16"/>
        <v>#NAME?</v>
      </c>
      <c r="F126" s="1" t="e">
        <f t="shared" ca="1" si="17"/>
        <v>#NAME?</v>
      </c>
      <c r="G126" s="1" t="e">
        <f t="shared" ca="1" si="18"/>
        <v>#NAME?</v>
      </c>
      <c r="H126" s="1" t="str">
        <f t="shared" si="19"/>
        <v>politzer, patricia</v>
      </c>
      <c r="I126" s="1" t="s">
        <v>909</v>
      </c>
      <c r="J126" s="1">
        <f>VLOOKUP(I126,all!$N$2:$O$156,2,FALSE)</f>
        <v>125</v>
      </c>
      <c r="K126" t="s">
        <v>425</v>
      </c>
      <c r="L126" s="1">
        <v>125</v>
      </c>
    </row>
    <row r="127" spans="1:12" x14ac:dyDescent="0.35">
      <c r="A127" s="5" t="s">
        <v>485</v>
      </c>
      <c r="B127" s="1" t="e" cm="1">
        <f t="array" aca="1" ref="B127:C127" ca="1">_xlfn.TEXTSPLIT(A127,",")</f>
        <v>#NAME?</v>
      </c>
      <c r="C127" s="1" t="e">
        <f ca="1"/>
        <v>#NAME?</v>
      </c>
      <c r="D127" s="1" t="e">
        <f t="shared" ca="1" si="15"/>
        <v>#NAME?</v>
      </c>
      <c r="E127" s="1" t="e">
        <f t="shared" ca="1" si="16"/>
        <v>#NAME?</v>
      </c>
      <c r="F127" s="1" t="e">
        <f t="shared" ca="1" si="17"/>
        <v>#NAME?</v>
      </c>
      <c r="G127" s="1" t="e">
        <f t="shared" ca="1" si="18"/>
        <v>#NAME?</v>
      </c>
      <c r="H127" s="1" t="str">
        <f t="shared" si="19"/>
        <v>fernández, patricio</v>
      </c>
      <c r="I127" s="1" t="s">
        <v>910</v>
      </c>
      <c r="J127" s="1">
        <f>VLOOKUP(I127,all!$N$2:$O$156,2,FALSE)</f>
        <v>126</v>
      </c>
      <c r="K127" t="s">
        <v>485</v>
      </c>
      <c r="L127" s="1">
        <v>126</v>
      </c>
    </row>
    <row r="128" spans="1:12" x14ac:dyDescent="0.35">
      <c r="A128" s="5" t="s">
        <v>391</v>
      </c>
      <c r="B128" s="1" t="e" cm="1">
        <f t="array" aca="1" ref="B128:C128" ca="1">_xlfn.TEXTSPLIT(A128,",")</f>
        <v>#NAME?</v>
      </c>
      <c r="C128" s="1" t="e">
        <f ca="1"/>
        <v>#NAME?</v>
      </c>
      <c r="D128" s="1" t="e">
        <f t="shared" ca="1" si="15"/>
        <v>#NAME?</v>
      </c>
      <c r="E128" s="1" t="e">
        <f t="shared" ca="1" si="16"/>
        <v>#NAME?</v>
      </c>
      <c r="F128" s="1" t="e">
        <f t="shared" ca="1" si="17"/>
        <v>#NAME?</v>
      </c>
      <c r="G128" s="1" t="e">
        <f t="shared" ca="1" si="18"/>
        <v>#NAME?</v>
      </c>
      <c r="H128" s="1" t="str">
        <f t="shared" si="19"/>
        <v>veloso, paulina</v>
      </c>
      <c r="I128" s="1" t="s">
        <v>911</v>
      </c>
      <c r="J128" s="1">
        <f>VLOOKUP(I128,all!$N$2:$O$156,2,FALSE)</f>
        <v>127</v>
      </c>
      <c r="K128" t="s">
        <v>391</v>
      </c>
      <c r="L128" s="1">
        <v>127</v>
      </c>
    </row>
    <row r="129" spans="1:12" x14ac:dyDescent="0.35">
      <c r="A129" s="5" t="s">
        <v>396</v>
      </c>
      <c r="B129" s="1" t="e" cm="1">
        <f t="array" aca="1" ref="B129:C129" ca="1">_xlfn.TEXTSPLIT(A129,",")</f>
        <v>#NAME?</v>
      </c>
      <c r="C129" s="1" t="e">
        <f ca="1"/>
        <v>#NAME?</v>
      </c>
      <c r="D129" s="1" t="e">
        <f t="shared" ca="1" si="15"/>
        <v>#NAME?</v>
      </c>
      <c r="E129" s="1" t="e">
        <f t="shared" ca="1" si="16"/>
        <v>#NAME?</v>
      </c>
      <c r="F129" s="1" t="e">
        <f t="shared" ca="1" si="17"/>
        <v>#NAME?</v>
      </c>
      <c r="G129" s="1" t="e">
        <f t="shared" ca="1" si="18"/>
        <v>#NAME?</v>
      </c>
      <c r="H129" s="1" t="str">
        <f t="shared" si="19"/>
        <v>valenzuela, paulina</v>
      </c>
      <c r="I129" s="1" t="s">
        <v>912</v>
      </c>
      <c r="J129" s="1">
        <f>VLOOKUP(I129,all!$N$2:$O$156,2,FALSE)</f>
        <v>128</v>
      </c>
      <c r="K129" t="s">
        <v>396</v>
      </c>
      <c r="L129" s="1">
        <v>128</v>
      </c>
    </row>
    <row r="130" spans="1:12" x14ac:dyDescent="0.35">
      <c r="A130" s="5" t="s">
        <v>435</v>
      </c>
      <c r="B130" s="1" t="e" cm="1">
        <f t="array" aca="1" ref="B130:C130" ca="1">_xlfn.TEXTSPLIT(A130,",")</f>
        <v>#NAME?</v>
      </c>
      <c r="C130" s="1" t="e">
        <f ca="1"/>
        <v>#NAME?</v>
      </c>
      <c r="D130" s="1" t="e">
        <f t="shared" ref="D130:D155" ca="1" si="20">TRIM(B130)</f>
        <v>#NAME?</v>
      </c>
      <c r="E130" s="1" t="e">
        <f t="shared" ref="E130:E155" ca="1" si="21">TRIM(C130)</f>
        <v>#NAME?</v>
      </c>
      <c r="F130" s="1" t="e">
        <f t="shared" ref="F130:F155" ca="1" si="22">LOWER(D130)</f>
        <v>#NAME?</v>
      </c>
      <c r="G130" s="1" t="e">
        <f t="shared" ref="G130:G155" ca="1" si="23">LOWER(E130)</f>
        <v>#NAME?</v>
      </c>
      <c r="H130" s="1" t="str">
        <f t="shared" ref="H130:H155" si="24">LOWER(A130)</f>
        <v>muñoz, pedro</v>
      </c>
      <c r="I130" s="1" t="s">
        <v>913</v>
      </c>
      <c r="J130" s="1">
        <f>VLOOKUP(I130,all!$N$2:$O$156,2,FALSE)</f>
        <v>129</v>
      </c>
      <c r="K130" t="s">
        <v>435</v>
      </c>
      <c r="L130" s="1">
        <v>129</v>
      </c>
    </row>
    <row r="131" spans="1:12" x14ac:dyDescent="0.35">
      <c r="A131" s="5" t="s">
        <v>417</v>
      </c>
      <c r="B131" s="1" t="e" cm="1">
        <f t="array" aca="1" ref="B131:C131" ca="1">_xlfn.TEXTSPLIT(A131,",")</f>
        <v>#NAME?</v>
      </c>
      <c r="C131" s="1" t="e">
        <f ca="1"/>
        <v>#NAME?</v>
      </c>
      <c r="D131" s="1" t="e">
        <f t="shared" ca="1" si="20"/>
        <v>#NAME?</v>
      </c>
      <c r="E131" s="1" t="e">
        <f t="shared" ca="1" si="21"/>
        <v>#NAME?</v>
      </c>
      <c r="F131" s="1" t="e">
        <f t="shared" ca="1" si="22"/>
        <v>#NAME?</v>
      </c>
      <c r="G131" s="1" t="e">
        <f t="shared" ca="1" si="23"/>
        <v>#NAME?</v>
      </c>
      <c r="H131" s="1" t="str">
        <f t="shared" si="24"/>
        <v>rivera, pollyana</v>
      </c>
      <c r="I131" s="1" t="s">
        <v>914</v>
      </c>
      <c r="J131" s="1">
        <f>VLOOKUP(I131,all!$N$2:$O$156,2,FALSE)</f>
        <v>130</v>
      </c>
      <c r="K131" t="s">
        <v>417</v>
      </c>
      <c r="L131" s="1">
        <v>130</v>
      </c>
    </row>
    <row r="132" spans="1:12" x14ac:dyDescent="0.35">
      <c r="A132" s="5" t="s">
        <v>498</v>
      </c>
      <c r="B132" s="1" t="e" cm="1">
        <f t="array" aca="1" ref="B132:C132" ca="1">_xlfn.TEXTSPLIT(A132,",")</f>
        <v>#NAME?</v>
      </c>
      <c r="C132" s="1" t="e">
        <f ca="1"/>
        <v>#NAME?</v>
      </c>
      <c r="D132" s="1" t="e">
        <f t="shared" ca="1" si="20"/>
        <v>#NAME?</v>
      </c>
      <c r="E132" s="1" t="e">
        <f t="shared" ca="1" si="21"/>
        <v>#NAME?</v>
      </c>
      <c r="F132" s="1" t="e">
        <f t="shared" ca="1" si="22"/>
        <v>#NAME?</v>
      </c>
      <c r="G132" s="1" t="e">
        <f t="shared" ca="1" si="23"/>
        <v>#NAME?</v>
      </c>
      <c r="H132" s="1" t="str">
        <f t="shared" si="24"/>
        <v>celis, raúl</v>
      </c>
      <c r="I132" s="1" t="s">
        <v>915</v>
      </c>
      <c r="J132" s="1">
        <f>VLOOKUP(I132,all!$N$2:$O$156,2,FALSE)</f>
        <v>131</v>
      </c>
      <c r="K132" t="s">
        <v>498</v>
      </c>
      <c r="L132" s="1">
        <v>131</v>
      </c>
    </row>
    <row r="133" spans="1:12" x14ac:dyDescent="0.35">
      <c r="A133" s="5" t="s">
        <v>479</v>
      </c>
      <c r="B133" s="1" t="e" cm="1">
        <f t="array" aca="1" ref="B133:C133" ca="1">_xlfn.TEXTSPLIT(A133,",")</f>
        <v>#NAME?</v>
      </c>
      <c r="C133" s="1" t="e">
        <f ca="1"/>
        <v>#NAME?</v>
      </c>
      <c r="D133" s="1" t="e">
        <f t="shared" ca="1" si="20"/>
        <v>#NAME?</v>
      </c>
      <c r="E133" s="1" t="e">
        <f t="shared" ca="1" si="21"/>
        <v>#NAME?</v>
      </c>
      <c r="F133" s="1" t="e">
        <f t="shared" ca="1" si="22"/>
        <v>#NAME?</v>
      </c>
      <c r="G133" s="1" t="e">
        <f t="shared" ca="1" si="23"/>
        <v>#NAME?</v>
      </c>
      <c r="H133" s="1" t="str">
        <f t="shared" si="24"/>
        <v>garín, renato</v>
      </c>
      <c r="I133" s="1" t="s">
        <v>916</v>
      </c>
      <c r="J133" s="1">
        <f>VLOOKUP(I133,all!$N$2:$O$156,2,FALSE)</f>
        <v>132</v>
      </c>
      <c r="K133" t="s">
        <v>479</v>
      </c>
      <c r="L133" s="1">
        <v>132</v>
      </c>
    </row>
    <row r="134" spans="1:12" x14ac:dyDescent="0.35">
      <c r="A134" s="5" t="s">
        <v>432</v>
      </c>
      <c r="B134" s="1" t="e" cm="1">
        <f t="array" aca="1" ref="B134:C134" ca="1">_xlfn.TEXTSPLIT(A134,",")</f>
        <v>#NAME?</v>
      </c>
      <c r="C134" s="1" t="e">
        <f ca="1"/>
        <v>#NAME?</v>
      </c>
      <c r="D134" s="1" t="e">
        <f t="shared" ca="1" si="20"/>
        <v>#NAME?</v>
      </c>
      <c r="E134" s="1" t="e">
        <f t="shared" ca="1" si="21"/>
        <v>#NAME?</v>
      </c>
      <c r="F134" s="1" t="e">
        <f t="shared" ca="1" si="22"/>
        <v>#NAME?</v>
      </c>
      <c r="G134" s="1" t="e">
        <f t="shared" ca="1" si="23"/>
        <v>#NAME?</v>
      </c>
      <c r="H134" s="1" t="str">
        <f t="shared" si="24"/>
        <v>neumann, ricardo</v>
      </c>
      <c r="I134" s="1" t="s">
        <v>917</v>
      </c>
      <c r="J134" s="1">
        <f>VLOOKUP(I134,all!$N$2:$O$156,2,FALSE)</f>
        <v>133</v>
      </c>
      <c r="K134" t="s">
        <v>432</v>
      </c>
      <c r="L134" s="1">
        <v>133</v>
      </c>
    </row>
    <row r="135" spans="1:12" x14ac:dyDescent="0.35">
      <c r="A135" s="5" t="s">
        <v>437</v>
      </c>
      <c r="B135" s="1" t="e" cm="1">
        <f t="array" aca="1" ref="B135:C135" ca="1">_xlfn.TEXTSPLIT(A135,",")</f>
        <v>#NAME?</v>
      </c>
      <c r="C135" s="1" t="e">
        <f ca="1"/>
        <v>#NAME?</v>
      </c>
      <c r="D135" s="1" t="e">
        <f t="shared" ca="1" si="20"/>
        <v>#NAME?</v>
      </c>
      <c r="E135" s="1" t="e">
        <f t="shared" ca="1" si="21"/>
        <v>#NAME?</v>
      </c>
      <c r="F135" s="1" t="e">
        <f t="shared" ca="1" si="22"/>
        <v>#NAME?</v>
      </c>
      <c r="G135" s="1" t="e">
        <f t="shared" ca="1" si="23"/>
        <v>#NAME?</v>
      </c>
      <c r="H135" s="1" t="str">
        <f t="shared" si="24"/>
        <v>montero, ricardo</v>
      </c>
      <c r="I135" s="1" t="s">
        <v>918</v>
      </c>
      <c r="J135" s="1">
        <f>VLOOKUP(I135,all!$N$2:$O$156,2,FALSE)</f>
        <v>134</v>
      </c>
      <c r="K135" t="s">
        <v>437</v>
      </c>
      <c r="L135" s="1">
        <v>134</v>
      </c>
    </row>
    <row r="136" spans="1:12" x14ac:dyDescent="0.35">
      <c r="A136" s="5" t="s">
        <v>499</v>
      </c>
      <c r="B136" s="1" t="e" cm="1">
        <f t="array" aca="1" ref="B136:C136" ca="1">_xlfn.TEXTSPLIT(A136,",")</f>
        <v>#NAME?</v>
      </c>
      <c r="C136" s="1" t="e">
        <f ca="1"/>
        <v>#NAME?</v>
      </c>
      <c r="D136" s="1" t="e">
        <f t="shared" ca="1" si="20"/>
        <v>#NAME?</v>
      </c>
      <c r="E136" s="1" t="e">
        <f t="shared" ca="1" si="21"/>
        <v>#NAME?</v>
      </c>
      <c r="F136" s="1" t="e">
        <f t="shared" ca="1" si="22"/>
        <v>#NAME?</v>
      </c>
      <c r="G136" s="1" t="e">
        <f t="shared" ca="1" si="23"/>
        <v>#NAME?</v>
      </c>
      <c r="H136" s="1" t="str">
        <f t="shared" si="24"/>
        <v>celedón, roberto</v>
      </c>
      <c r="I136" s="1" t="s">
        <v>919</v>
      </c>
      <c r="J136" s="1">
        <f>VLOOKUP(I136,all!$N$2:$O$156,2,FALSE)</f>
        <v>135</v>
      </c>
      <c r="K136" t="s">
        <v>499</v>
      </c>
      <c r="L136" s="1">
        <v>135</v>
      </c>
    </row>
    <row r="137" spans="1:12" x14ac:dyDescent="0.35">
      <c r="A137" s="5" t="s">
        <v>392</v>
      </c>
      <c r="B137" s="1" t="e" cm="1">
        <f t="array" aca="1" ref="B137:C137" ca="1">_xlfn.TEXTSPLIT(A137,",")</f>
        <v>#NAME?</v>
      </c>
      <c r="C137" s="1" t="e">
        <f ca="1"/>
        <v>#NAME?</v>
      </c>
      <c r="D137" s="1" t="e">
        <f t="shared" ca="1" si="20"/>
        <v>#NAME?</v>
      </c>
      <c r="E137" s="1" t="e">
        <f t="shared" ca="1" si="21"/>
        <v>#NAME?</v>
      </c>
      <c r="F137" s="1" t="e">
        <f t="shared" ca="1" si="22"/>
        <v>#NAME?</v>
      </c>
      <c r="G137" s="1" t="e">
        <f t="shared" ca="1" si="23"/>
        <v>#NAME?</v>
      </c>
      <c r="H137" s="1" t="str">
        <f t="shared" si="24"/>
        <v>vega, roberto</v>
      </c>
      <c r="I137" s="1" t="s">
        <v>920</v>
      </c>
      <c r="J137" s="1">
        <f>VLOOKUP(I137,all!$N$2:$O$156,2,FALSE)</f>
        <v>136</v>
      </c>
      <c r="K137" t="s">
        <v>392</v>
      </c>
      <c r="L137" s="1">
        <v>136</v>
      </c>
    </row>
    <row r="138" spans="1:12" x14ac:dyDescent="0.35">
      <c r="A138" s="5" t="s">
        <v>505</v>
      </c>
      <c r="B138" s="1" t="e" cm="1">
        <f t="array" aca="1" ref="B138:C138" ca="1">_xlfn.TEXTSPLIT(A138,",")</f>
        <v>#NAME?</v>
      </c>
      <c r="C138" s="1" t="e">
        <f ca="1"/>
        <v>#NAME?</v>
      </c>
      <c r="D138" s="1" t="e">
        <f t="shared" ca="1" si="20"/>
        <v>#NAME?</v>
      </c>
      <c r="E138" s="1" t="e">
        <f t="shared" ca="1" si="21"/>
        <v>#NAME?</v>
      </c>
      <c r="F138" s="1" t="e">
        <f t="shared" ca="1" si="22"/>
        <v>#NAME?</v>
      </c>
      <c r="G138" s="1" t="e">
        <f t="shared" ca="1" si="23"/>
        <v>#NAME?</v>
      </c>
      <c r="H138" s="1" t="str">
        <f t="shared" si="24"/>
        <v>cantuarias, rocío</v>
      </c>
      <c r="I138" s="1" t="s">
        <v>921</v>
      </c>
      <c r="J138" s="1">
        <f>VLOOKUP(I138,all!$N$2:$O$156,2,FALSE)</f>
        <v>137</v>
      </c>
      <c r="K138" t="s">
        <v>505</v>
      </c>
      <c r="L138" s="1">
        <v>137</v>
      </c>
    </row>
    <row r="139" spans="1:12" x14ac:dyDescent="0.35">
      <c r="A139" s="5" t="s">
        <v>528</v>
      </c>
      <c r="B139" s="1" t="e" cm="1">
        <f t="array" aca="1" ref="B139:C139" ca="1">_xlfn.TEXTSPLIT(A139,",")</f>
        <v>#NAME?</v>
      </c>
      <c r="C139" s="1" t="e">
        <f ca="1"/>
        <v>#NAME?</v>
      </c>
      <c r="D139" s="1" t="e">
        <f t="shared" ca="1" si="20"/>
        <v>#NAME?</v>
      </c>
      <c r="E139" s="1" t="e">
        <f t="shared" ca="1" si="21"/>
        <v>#NAME?</v>
      </c>
      <c r="F139" s="1" t="e">
        <f t="shared" ca="1" si="22"/>
        <v>#NAME?</v>
      </c>
      <c r="G139" s="1" t="e">
        <f t="shared" ca="1" si="23"/>
        <v>#NAME?</v>
      </c>
      <c r="H139" s="1" t="str">
        <f t="shared" si="24"/>
        <v>alvarez, rodrigo</v>
      </c>
      <c r="I139" s="1" t="s">
        <v>922</v>
      </c>
      <c r="J139" s="1">
        <f>VLOOKUP(I139,all!$N$2:$O$156,2,FALSE)</f>
        <v>138</v>
      </c>
      <c r="K139" t="s">
        <v>528</v>
      </c>
      <c r="L139" s="1">
        <v>138</v>
      </c>
    </row>
    <row r="140" spans="1:12" x14ac:dyDescent="0.35">
      <c r="A140" s="5" t="s">
        <v>452</v>
      </c>
      <c r="B140" s="1" t="e" cm="1">
        <f t="array" aca="1" ref="B140:C140" ca="1">_xlfn.TEXTSPLIT(A140,",")</f>
        <v>#NAME?</v>
      </c>
      <c r="C140" s="1" t="e">
        <f ca="1"/>
        <v>#NAME?</v>
      </c>
      <c r="D140" s="1" t="e">
        <f t="shared" ca="1" si="20"/>
        <v>#NAME?</v>
      </c>
      <c r="E140" s="1" t="e">
        <f t="shared" ca="1" si="21"/>
        <v>#NAME?</v>
      </c>
      <c r="F140" s="1" t="e">
        <f t="shared" ca="1" si="22"/>
        <v>#NAME?</v>
      </c>
      <c r="G140" s="1" t="e">
        <f t="shared" ca="1" si="23"/>
        <v>#NAME?</v>
      </c>
      <c r="H140" s="1" t="str">
        <f t="shared" si="24"/>
        <v>logan, rodrigo</v>
      </c>
      <c r="I140" s="1" t="s">
        <v>923</v>
      </c>
      <c r="J140" s="1">
        <f>VLOOKUP(I140,all!$N$2:$O$156,2,FALSE)</f>
        <v>139</v>
      </c>
      <c r="K140" t="s">
        <v>452</v>
      </c>
      <c r="L140" s="1">
        <v>139</v>
      </c>
    </row>
    <row r="141" spans="1:12" x14ac:dyDescent="0.35">
      <c r="A141" s="5" t="s">
        <v>500</v>
      </c>
      <c r="B141" s="1" t="e" cm="1">
        <f t="array" aca="1" ref="B141:C141" ca="1">_xlfn.TEXTSPLIT(A141,",")</f>
        <v>#NAME?</v>
      </c>
      <c r="C141" s="1" t="e">
        <f ca="1"/>
        <v>#NAME?</v>
      </c>
      <c r="D141" s="1" t="e">
        <f t="shared" ca="1" si="20"/>
        <v>#NAME?</v>
      </c>
      <c r="E141" s="1" t="e">
        <f t="shared" ca="1" si="21"/>
        <v>#NAME?</v>
      </c>
      <c r="F141" s="1" t="e">
        <f t="shared" ca="1" si="22"/>
        <v>#NAME?</v>
      </c>
      <c r="G141" s="1" t="e">
        <f t="shared" ca="1" si="23"/>
        <v>#NAME?</v>
      </c>
      <c r="H141" s="1" t="str">
        <f t="shared" si="24"/>
        <v>catrileo, rosa</v>
      </c>
      <c r="I141" s="1" t="s">
        <v>924</v>
      </c>
      <c r="J141" s="1">
        <f>VLOOKUP(I141,all!$N$2:$O$156,2,FALSE)</f>
        <v>141</v>
      </c>
      <c r="K141" t="s">
        <v>500</v>
      </c>
      <c r="L141" s="1">
        <v>141</v>
      </c>
    </row>
    <row r="142" spans="1:12" x14ac:dyDescent="0.35">
      <c r="A142" s="5" t="s">
        <v>388</v>
      </c>
      <c r="B142" s="1" t="e" cm="1">
        <f t="array" aca="1" ref="B142:C142" ca="1">_xlfn.TEXTSPLIT(A142,",")</f>
        <v>#NAME?</v>
      </c>
      <c r="C142" s="1" t="e">
        <f ca="1"/>
        <v>#NAME?</v>
      </c>
      <c r="D142" s="1" t="e">
        <f t="shared" ca="1" si="20"/>
        <v>#NAME?</v>
      </c>
      <c r="E142" s="1" t="e">
        <f t="shared" ca="1" si="21"/>
        <v>#NAME?</v>
      </c>
      <c r="F142" s="1" t="e">
        <f t="shared" ca="1" si="22"/>
        <v>#NAME?</v>
      </c>
      <c r="G142" s="1" t="e">
        <f t="shared" ca="1" si="23"/>
        <v>#NAME?</v>
      </c>
      <c r="H142" s="1" t="str">
        <f t="shared" si="24"/>
        <v>vidal, loreto</v>
      </c>
      <c r="I142" s="1" t="s">
        <v>925</v>
      </c>
      <c r="J142" s="1">
        <f>VLOOKUP(I142,all!$N$2:$O$156,2,FALSE)</f>
        <v>142</v>
      </c>
      <c r="K142" t="s">
        <v>388</v>
      </c>
      <c r="L142" s="1">
        <v>142</v>
      </c>
    </row>
    <row r="143" spans="1:12" x14ac:dyDescent="0.35">
      <c r="A143" s="5" t="s">
        <v>495</v>
      </c>
      <c r="B143" s="1" t="e" cm="1">
        <f t="array" aca="1" ref="B143:C143" ca="1">_xlfn.TEXTSPLIT(A143,",")</f>
        <v>#NAME?</v>
      </c>
      <c r="C143" s="1" t="e">
        <f ca="1"/>
        <v>#NAME?</v>
      </c>
      <c r="D143" s="1" t="e">
        <f t="shared" ca="1" si="20"/>
        <v>#NAME?</v>
      </c>
      <c r="E143" s="1" t="e">
        <f t="shared" ca="1" si="21"/>
        <v>#NAME?</v>
      </c>
      <c r="F143" s="1" t="e">
        <f t="shared" ca="1" si="22"/>
        <v>#NAME?</v>
      </c>
      <c r="G143" s="1" t="e">
        <f t="shared" ca="1" si="23"/>
        <v>#NAME?</v>
      </c>
      <c r="H143" s="1" t="str">
        <f t="shared" si="24"/>
        <v>cozzi, ruggero</v>
      </c>
      <c r="I143" s="1" t="s">
        <v>926</v>
      </c>
      <c r="J143" s="1">
        <f>VLOOKUP(I143,all!$N$2:$O$156,2,FALSE)</f>
        <v>143</v>
      </c>
      <c r="K143" t="s">
        <v>495</v>
      </c>
      <c r="L143" s="1">
        <v>143</v>
      </c>
    </row>
    <row r="144" spans="1:12" x14ac:dyDescent="0.35">
      <c r="A144" s="5" t="s">
        <v>464</v>
      </c>
      <c r="B144" s="1" t="e" cm="1">
        <f t="array" aca="1" ref="B144:C144" ca="1">_xlfn.TEXTSPLIT(A144,",")</f>
        <v>#NAME?</v>
      </c>
      <c r="C144" s="1" t="e">
        <f ca="1"/>
        <v>#NAME?</v>
      </c>
      <c r="D144" s="1" t="e">
        <f t="shared" ca="1" si="20"/>
        <v>#NAME?</v>
      </c>
      <c r="E144" s="1" t="e">
        <f t="shared" ca="1" si="21"/>
        <v>#NAME?</v>
      </c>
      <c r="F144" s="1" t="e">
        <f t="shared" ca="1" si="22"/>
        <v>#NAME?</v>
      </c>
      <c r="G144" s="1" t="e">
        <f t="shared" ca="1" si="23"/>
        <v>#NAME?</v>
      </c>
      <c r="H144" s="1" t="str">
        <f t="shared" si="24"/>
        <v>hurtado, ruth</v>
      </c>
      <c r="I144" s="1" t="s">
        <v>927</v>
      </c>
      <c r="J144" s="1">
        <f>VLOOKUP(I144,all!$N$2:$O$156,2,FALSE)</f>
        <v>144</v>
      </c>
      <c r="K144" t="s">
        <v>464</v>
      </c>
      <c r="L144" s="1">
        <v>144</v>
      </c>
    </row>
    <row r="145" spans="1:12" x14ac:dyDescent="0.35">
      <c r="A145" s="5" t="s">
        <v>423</v>
      </c>
      <c r="B145" s="1" t="e" cm="1">
        <f t="array" aca="1" ref="B145:C145" ca="1">_xlfn.TEXTSPLIT(A145,",")</f>
        <v>#NAME?</v>
      </c>
      <c r="C145" s="1" t="e">
        <f ca="1"/>
        <v>#NAME?</v>
      </c>
      <c r="D145" s="1" t="e">
        <f t="shared" ca="1" si="20"/>
        <v>#NAME?</v>
      </c>
      <c r="E145" s="1" t="e">
        <f t="shared" ca="1" si="21"/>
        <v>#NAME?</v>
      </c>
      <c r="F145" s="1" t="e">
        <f t="shared" ca="1" si="22"/>
        <v>#NAME?</v>
      </c>
      <c r="G145" s="1" t="e">
        <f t="shared" ca="1" si="23"/>
        <v>#NAME?</v>
      </c>
      <c r="H145" s="1" t="str">
        <f t="shared" si="24"/>
        <v>pustilnick, tammy</v>
      </c>
      <c r="I145" s="1" t="s">
        <v>928</v>
      </c>
      <c r="J145" s="1">
        <f>VLOOKUP(I145,all!$N$2:$O$156,2,FALSE)</f>
        <v>145</v>
      </c>
      <c r="K145" t="s">
        <v>423</v>
      </c>
      <c r="L145" s="1">
        <v>145</v>
      </c>
    </row>
    <row r="146" spans="1:12" x14ac:dyDescent="0.35">
      <c r="A146" s="5" t="s">
        <v>450</v>
      </c>
      <c r="B146" s="1" t="e" cm="1">
        <f t="array" aca="1" ref="B146:C146" ca="1">_xlfn.TEXTSPLIT(A146,",")</f>
        <v>#NAME?</v>
      </c>
      <c r="C146" s="1" t="e">
        <f ca="1"/>
        <v>#NAME?</v>
      </c>
      <c r="D146" s="1" t="e">
        <f t="shared" ca="1" si="20"/>
        <v>#NAME?</v>
      </c>
      <c r="E146" s="1" t="e">
        <f t="shared" ca="1" si="21"/>
        <v>#NAME?</v>
      </c>
      <c r="F146" s="1" t="e">
        <f t="shared" ca="1" si="22"/>
        <v>#NAME?</v>
      </c>
      <c r="G146" s="1" t="e">
        <f t="shared" ca="1" si="23"/>
        <v>#NAME?</v>
      </c>
      <c r="H146" s="1" t="str">
        <f t="shared" si="24"/>
        <v>madriaga, tania</v>
      </c>
      <c r="I146" s="1" t="s">
        <v>929</v>
      </c>
      <c r="J146" s="1">
        <f>VLOOKUP(I146,all!$N$2:$O$156,2,FALSE)</f>
        <v>146</v>
      </c>
      <c r="K146" t="s">
        <v>450</v>
      </c>
      <c r="L146" s="1">
        <v>146</v>
      </c>
    </row>
    <row r="147" spans="1:12" x14ac:dyDescent="0.35">
      <c r="A147" s="5" t="s">
        <v>398</v>
      </c>
      <c r="B147" s="1" t="e" cm="1">
        <f t="array" aca="1" ref="B147:C147" ca="1">_xlfn.TEXTSPLIT(A147,",")</f>
        <v>#NAME?</v>
      </c>
      <c r="C147" s="1" t="e">
        <f ca="1"/>
        <v>#NAME?</v>
      </c>
      <c r="D147" s="1" t="e">
        <f t="shared" ca="1" si="20"/>
        <v>#NAME?</v>
      </c>
      <c r="E147" s="1" t="e">
        <f t="shared" ca="1" si="21"/>
        <v>#NAME?</v>
      </c>
      <c r="F147" s="1" t="e">
        <f t="shared" ca="1" si="22"/>
        <v>#NAME?</v>
      </c>
      <c r="G147" s="1" t="e">
        <f t="shared" ca="1" si="23"/>
        <v>#NAME?</v>
      </c>
      <c r="H147" s="1" t="str">
        <f t="shared" si="24"/>
        <v>urrutia, tatiana</v>
      </c>
      <c r="I147" s="1" t="s">
        <v>930</v>
      </c>
      <c r="J147" s="1">
        <f>VLOOKUP(I147,all!$N$2:$O$156,2,FALSE)</f>
        <v>147</v>
      </c>
      <c r="K147" t="s">
        <v>398</v>
      </c>
      <c r="L147" s="1">
        <v>147</v>
      </c>
    </row>
    <row r="148" spans="1:12" x14ac:dyDescent="0.35">
      <c r="A148" s="5" t="s">
        <v>448</v>
      </c>
      <c r="B148" s="1" t="e" cm="1">
        <f t="array" aca="1" ref="B148:C148" ca="1">_xlfn.TEXTSPLIT(A148,",")</f>
        <v>#NAME?</v>
      </c>
      <c r="C148" s="1" t="e">
        <f ca="1"/>
        <v>#NAME?</v>
      </c>
      <c r="D148" s="1" t="e">
        <f t="shared" ca="1" si="20"/>
        <v>#NAME?</v>
      </c>
      <c r="E148" s="1" t="e">
        <f t="shared" ca="1" si="21"/>
        <v>#NAME?</v>
      </c>
      <c r="F148" s="1" t="e">
        <f t="shared" ca="1" si="22"/>
        <v>#NAME?</v>
      </c>
      <c r="G148" s="1" t="e">
        <f t="shared" ca="1" si="23"/>
        <v>#NAME?</v>
      </c>
      <c r="H148" s="1" t="str">
        <f t="shared" si="24"/>
        <v>marinovic, teresa</v>
      </c>
      <c r="I148" s="1" t="s">
        <v>931</v>
      </c>
      <c r="J148" s="1">
        <f>VLOOKUP(I148,all!$N$2:$O$156,2,FALSE)</f>
        <v>148</v>
      </c>
      <c r="K148" t="s">
        <v>448</v>
      </c>
      <c r="L148" s="1">
        <v>148</v>
      </c>
    </row>
    <row r="149" spans="1:12" x14ac:dyDescent="0.35">
      <c r="A149" s="5" t="s">
        <v>531</v>
      </c>
      <c r="B149" s="1" t="e" cm="1">
        <f t="array" aca="1" ref="B149:C149" ca="1">_xlfn.TEXTSPLIT(A149,",")</f>
        <v>#NAME?</v>
      </c>
      <c r="C149" s="1" t="e">
        <f ca="1"/>
        <v>#NAME?</v>
      </c>
      <c r="D149" s="1" t="e">
        <f t="shared" ca="1" si="20"/>
        <v>#NAME?</v>
      </c>
      <c r="E149" s="1" t="e">
        <f t="shared" ca="1" si="21"/>
        <v>#NAME?</v>
      </c>
      <c r="F149" s="1" t="e">
        <f t="shared" ca="1" si="22"/>
        <v>#NAME?</v>
      </c>
      <c r="G149" s="1" t="e">
        <f t="shared" ca="1" si="23"/>
        <v>#NAME?</v>
      </c>
      <c r="H149" s="1" t="str">
        <f t="shared" si="24"/>
        <v>aguilera, tiare</v>
      </c>
      <c r="I149" s="1" t="s">
        <v>932</v>
      </c>
      <c r="J149" s="1">
        <f>VLOOKUP(I149,all!$N$2:$O$156,2,FALSE)</f>
        <v>149</v>
      </c>
      <c r="K149" t="s">
        <v>531</v>
      </c>
      <c r="L149" s="1">
        <v>149</v>
      </c>
    </row>
    <row r="150" spans="1:12" x14ac:dyDescent="0.35">
      <c r="A150" s="5" t="s">
        <v>457</v>
      </c>
      <c r="B150" s="1" t="e" cm="1">
        <f t="array" aca="1" ref="B150:C150" ca="1">_xlfn.TEXTSPLIT(A150,",")</f>
        <v>#NAME?</v>
      </c>
      <c r="C150" s="1" t="e">
        <f ca="1"/>
        <v>#NAME?</v>
      </c>
      <c r="D150" s="1" t="e">
        <f t="shared" ca="1" si="20"/>
        <v>#NAME?</v>
      </c>
      <c r="E150" s="1" t="e">
        <f t="shared" ca="1" si="21"/>
        <v>#NAME?</v>
      </c>
      <c r="F150" s="1" t="e">
        <f t="shared" ca="1" si="22"/>
        <v>#NAME?</v>
      </c>
      <c r="G150" s="1" t="e">
        <f t="shared" ca="1" si="23"/>
        <v>#NAME?</v>
      </c>
      <c r="H150" s="1" t="str">
        <f t="shared" si="24"/>
        <v>laibe, tomás</v>
      </c>
      <c r="I150" s="1" t="s">
        <v>933</v>
      </c>
      <c r="J150" s="1">
        <f>VLOOKUP(I150,all!$N$2:$O$156,2,FALSE)</f>
        <v>150</v>
      </c>
      <c r="K150" t="s">
        <v>457</v>
      </c>
      <c r="L150" s="1">
        <v>150</v>
      </c>
    </row>
    <row r="151" spans="1:12" x14ac:dyDescent="0.35">
      <c r="A151" s="5" t="s">
        <v>440</v>
      </c>
      <c r="B151" s="1" t="e" cm="1">
        <f t="array" aca="1" ref="B151:C151" ca="1">_xlfn.TEXTSPLIT(A151,",")</f>
        <v>#NAME?</v>
      </c>
      <c r="C151" s="1" t="e">
        <f ca="1"/>
        <v>#NAME?</v>
      </c>
      <c r="D151" s="1" t="e">
        <f t="shared" ca="1" si="20"/>
        <v>#NAME?</v>
      </c>
      <c r="E151" s="1" t="e">
        <f t="shared" ca="1" si="21"/>
        <v>#NAME?</v>
      </c>
      <c r="F151" s="1" t="e">
        <f t="shared" ca="1" si="22"/>
        <v>#NAME?</v>
      </c>
      <c r="G151" s="1" t="e">
        <f t="shared" ca="1" si="23"/>
        <v>#NAME?</v>
      </c>
      <c r="H151" s="1" t="str">
        <f t="shared" si="24"/>
        <v>miranda, valentina</v>
      </c>
      <c r="I151" s="1" t="s">
        <v>934</v>
      </c>
      <c r="J151" s="1">
        <f>VLOOKUP(I151,all!$N$2:$O$156,2,FALSE)</f>
        <v>151</v>
      </c>
      <c r="K151" t="s">
        <v>440</v>
      </c>
      <c r="L151" s="1">
        <v>151</v>
      </c>
    </row>
    <row r="152" spans="1:12" x14ac:dyDescent="0.35">
      <c r="A152" s="5" t="s">
        <v>467</v>
      </c>
      <c r="B152" s="1" t="e" cm="1">
        <f t="array" aca="1" ref="B152:C152" ca="1">_xlfn.TEXTSPLIT(A152,",")</f>
        <v>#NAME?</v>
      </c>
      <c r="C152" s="1" t="e">
        <f ca="1"/>
        <v>#NAME?</v>
      </c>
      <c r="D152" s="1" t="e">
        <f t="shared" ca="1" si="20"/>
        <v>#NAME?</v>
      </c>
      <c r="E152" s="1" t="e">
        <f t="shared" ca="1" si="21"/>
        <v>#NAME?</v>
      </c>
      <c r="F152" s="1" t="e">
        <f t="shared" ca="1" si="22"/>
        <v>#NAME?</v>
      </c>
      <c r="G152" s="1" t="e">
        <f t="shared" ca="1" si="23"/>
        <v>#NAME?</v>
      </c>
      <c r="H152" s="1" t="str">
        <f t="shared" si="24"/>
        <v>hoppe, vanessa</v>
      </c>
      <c r="I152" s="1" t="s">
        <v>935</v>
      </c>
      <c r="J152" s="1">
        <f>VLOOKUP(I152,all!$N$2:$O$156,2,FALSE)</f>
        <v>152</v>
      </c>
      <c r="K152" t="s">
        <v>467</v>
      </c>
      <c r="L152" s="1">
        <v>152</v>
      </c>
    </row>
    <row r="153" spans="1:12" x14ac:dyDescent="0.35">
      <c r="A153" s="5" t="s">
        <v>524</v>
      </c>
      <c r="B153" s="1" t="e" cm="1">
        <f t="array" aca="1" ref="B153:C153" ca="1">_xlfn.TEXTSPLIT(A153,",")</f>
        <v>#NAME?</v>
      </c>
      <c r="C153" s="1" t="e">
        <f ca="1"/>
        <v>#NAME?</v>
      </c>
      <c r="D153" s="1" t="e">
        <f t="shared" ca="1" si="20"/>
        <v>#NAME?</v>
      </c>
      <c r="E153" s="1" t="e">
        <f t="shared" ca="1" si="21"/>
        <v>#NAME?</v>
      </c>
      <c r="F153" s="1" t="e">
        <f t="shared" ca="1" si="22"/>
        <v>#NAME?</v>
      </c>
      <c r="G153" s="1" t="e">
        <f t="shared" ca="1" si="23"/>
        <v>#NAME?</v>
      </c>
      <c r="H153" s="1" t="str">
        <f t="shared" si="24"/>
        <v>antilef, victorino</v>
      </c>
      <c r="I153" s="1" t="s">
        <v>936</v>
      </c>
      <c r="J153" s="1">
        <f>VLOOKUP(I153,all!$N$2:$O$156,2,FALSE)</f>
        <v>153</v>
      </c>
      <c r="K153" t="s">
        <v>524</v>
      </c>
      <c r="L153" s="1">
        <v>153</v>
      </c>
    </row>
    <row r="154" spans="1:12" x14ac:dyDescent="0.35">
      <c r="A154" s="5" t="s">
        <v>518</v>
      </c>
      <c r="B154" s="1" t="e" cm="1">
        <f t="array" aca="1" ref="B154:C154" ca="1">_xlfn.TEXTSPLIT(A154,",")</f>
        <v>#NAME?</v>
      </c>
      <c r="C154" s="1" t="e">
        <f ca="1"/>
        <v>#NAME?</v>
      </c>
      <c r="D154" s="1" t="e">
        <f t="shared" ca="1" si="20"/>
        <v>#NAME?</v>
      </c>
      <c r="E154" s="1" t="e">
        <f t="shared" ca="1" si="21"/>
        <v>#NAME?</v>
      </c>
      <c r="F154" s="1" t="e">
        <f t="shared" ca="1" si="22"/>
        <v>#NAME?</v>
      </c>
      <c r="G154" s="1" t="e">
        <f t="shared" ca="1" si="23"/>
        <v>#NAME?</v>
      </c>
      <c r="H154" s="1" t="str">
        <f t="shared" si="24"/>
        <v>bacian, wilfredo</v>
      </c>
      <c r="I154" s="1" t="s">
        <v>937</v>
      </c>
      <c r="J154" s="1">
        <f>VLOOKUP(I154,all!$N$2:$O$156,2,FALSE)</f>
        <v>154</v>
      </c>
      <c r="K154" t="s">
        <v>518</v>
      </c>
      <c r="L154" s="1">
        <v>154</v>
      </c>
    </row>
    <row r="155" spans="1:12" x14ac:dyDescent="0.35">
      <c r="A155" s="5" t="s">
        <v>470</v>
      </c>
      <c r="B155" s="1" t="e" cm="1">
        <f t="array" aca="1" ref="B155:C155" ca="1">_xlfn.TEXTSPLIT(A155,",")</f>
        <v>#NAME?</v>
      </c>
      <c r="C155" s="1" t="e">
        <f ca="1"/>
        <v>#NAME?</v>
      </c>
      <c r="D155" s="1" t="e">
        <f t="shared" ca="1" si="20"/>
        <v>#NAME?</v>
      </c>
      <c r="E155" s="1" t="e">
        <f t="shared" ca="1" si="21"/>
        <v>#NAME?</v>
      </c>
      <c r="F155" s="1" t="e">
        <f t="shared" ca="1" si="22"/>
        <v>#NAME?</v>
      </c>
      <c r="G155" s="1" t="e">
        <f t="shared" ca="1" si="23"/>
        <v>#NAME?</v>
      </c>
      <c r="H155" s="1" t="str">
        <f t="shared" si="24"/>
        <v>gómez, yarela</v>
      </c>
      <c r="I155" s="1" t="s">
        <v>938</v>
      </c>
      <c r="J155" s="1">
        <f>VLOOKUP(I155,all!$N$2:$O$156,2,FALSE)</f>
        <v>155</v>
      </c>
      <c r="K155" t="s">
        <v>470</v>
      </c>
      <c r="L155" s="1">
        <v>155</v>
      </c>
    </row>
  </sheetData>
  <autoFilter ref="A1:J1" xr:uid="{00000000-0009-0000-0000-000006000000}">
    <sortState xmlns:xlrd2="http://schemas.microsoft.com/office/spreadsheetml/2017/richdata2" ref="A2:J155">
      <sortCondition ref="J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4"/>
  <dimension ref="A1:O156"/>
  <sheetViews>
    <sheetView topLeftCell="A71" workbookViewId="0">
      <selection activeCell="N112" sqref="N112"/>
    </sheetView>
  </sheetViews>
  <sheetFormatPr defaultRowHeight="15.5" x14ac:dyDescent="0.35"/>
  <cols>
    <col min="1" max="1" width="45.25" bestFit="1" customWidth="1"/>
    <col min="2" max="2" width="23.08203125" customWidth="1"/>
    <col min="11" max="11" width="9.83203125" bestFit="1" customWidth="1"/>
    <col min="12" max="12" width="10.08203125" bestFit="1" customWidth="1"/>
    <col min="13" max="13" width="14.33203125" bestFit="1" customWidth="1"/>
    <col min="14" max="14" width="14.33203125" customWidth="1"/>
  </cols>
  <sheetData>
    <row r="1" spans="1:15" x14ac:dyDescent="0.35">
      <c r="A1" s="43" t="s">
        <v>582</v>
      </c>
      <c r="B1" s="47" t="s">
        <v>606</v>
      </c>
      <c r="C1" s="43" t="s">
        <v>578</v>
      </c>
      <c r="D1" s="43" t="s">
        <v>579</v>
      </c>
      <c r="E1" s="43" t="s">
        <v>580</v>
      </c>
      <c r="F1" s="43" t="s">
        <v>581</v>
      </c>
      <c r="G1" s="47"/>
      <c r="H1" s="43"/>
      <c r="I1" s="47" t="s">
        <v>591</v>
      </c>
      <c r="J1" s="47" t="s">
        <v>592</v>
      </c>
      <c r="K1" s="43" t="s">
        <v>578</v>
      </c>
      <c r="L1" s="43" t="s">
        <v>580</v>
      </c>
      <c r="M1" s="47" t="s">
        <v>584</v>
      </c>
      <c r="N1" s="49" t="s">
        <v>665</v>
      </c>
      <c r="O1" s="49" t="s">
        <v>606</v>
      </c>
    </row>
    <row r="2" spans="1:15" x14ac:dyDescent="0.35">
      <c r="A2" s="42" t="s">
        <v>223</v>
      </c>
      <c r="B2" s="48">
        <v>1</v>
      </c>
      <c r="C2" t="e" cm="1">
        <f t="array" aca="1" ref="C2:F2" ca="1">_xlfn.TEXTSPLIT(A2," ")</f>
        <v>#NAME?</v>
      </c>
      <c r="D2" t="e">
        <f ca="1"/>
        <v>#NAME?</v>
      </c>
      <c r="E2" t="e">
        <f ca="1"/>
        <v>#NAME?</v>
      </c>
      <c r="F2" t="e">
        <f ca="1"/>
        <v>#NAME?</v>
      </c>
      <c r="I2" s="1">
        <f ca="1">COUNTA(C2:H2)</f>
        <v>4</v>
      </c>
      <c r="J2" s="1">
        <f ca="1">IF(I2&lt;5,1,0)</f>
        <v>1</v>
      </c>
      <c r="K2" t="e">
        <f ca="1">LOWER(TRIM(C2))</f>
        <v>#NAME?</v>
      </c>
      <c r="L2" t="e">
        <f ca="1">LOWER(TRIM(E2))</f>
        <v>#NAME?</v>
      </c>
      <c r="M2">
        <f ca="1">IFERROR(IF(J2=1,_xlfn.CONCAT(L2,", ",K2)),0)</f>
        <v>0</v>
      </c>
      <c r="N2" t="s">
        <v>785</v>
      </c>
      <c r="O2" s="1">
        <f>B2</f>
        <v>1</v>
      </c>
    </row>
    <row r="3" spans="1:15" x14ac:dyDescent="0.35">
      <c r="A3" s="44" t="s">
        <v>224</v>
      </c>
      <c r="B3" s="48">
        <v>2</v>
      </c>
      <c r="C3" t="e" cm="1">
        <f t="array" aca="1" ref="C3:F3" ca="1">_xlfn.TEXTSPLIT(A3," ")</f>
        <v>#NAME?</v>
      </c>
      <c r="D3" t="e">
        <f ca="1"/>
        <v>#NAME?</v>
      </c>
      <c r="E3" t="e">
        <f ca="1"/>
        <v>#NAME?</v>
      </c>
      <c r="F3" t="e">
        <f ca="1"/>
        <v>#NAME?</v>
      </c>
      <c r="I3" s="1">
        <f t="shared" ref="I3:I66" ca="1" si="0">COUNTA(C3:H3)</f>
        <v>4</v>
      </c>
      <c r="J3" s="1">
        <f ca="1">IF(I3&lt;5,1,0)</f>
        <v>1</v>
      </c>
      <c r="K3" t="e">
        <f t="shared" ref="K3:K66" ca="1" si="1">LOWER(TRIM(C3))</f>
        <v>#NAME?</v>
      </c>
      <c r="L3" t="e">
        <f t="shared" ref="L3:L66" ca="1" si="2">LOWER(TRIM(E3))</f>
        <v>#NAME?</v>
      </c>
      <c r="M3">
        <f t="shared" ref="M3:M66" ca="1" si="3">IFERROR(IF(J3=1,_xlfn.CONCAT(L3,", ",K3)),0)</f>
        <v>0</v>
      </c>
      <c r="N3" t="s">
        <v>786</v>
      </c>
      <c r="O3" s="1">
        <f t="shared" ref="O3:O66" si="4">B3</f>
        <v>2</v>
      </c>
    </row>
    <row r="4" spans="1:15" x14ac:dyDescent="0.35">
      <c r="A4" s="42" t="s">
        <v>225</v>
      </c>
      <c r="B4" s="48">
        <v>3</v>
      </c>
      <c r="C4" t="s">
        <v>599</v>
      </c>
      <c r="D4" t="s">
        <v>600</v>
      </c>
      <c r="E4" t="s">
        <v>601</v>
      </c>
      <c r="F4" t="s">
        <v>602</v>
      </c>
      <c r="I4" s="1">
        <f t="shared" si="0"/>
        <v>4</v>
      </c>
      <c r="J4" s="1">
        <f>IF(I4&lt;5,1,0)</f>
        <v>1</v>
      </c>
      <c r="K4" t="str">
        <f t="shared" si="1"/>
        <v>adriana</v>
      </c>
      <c r="L4" t="str">
        <f t="shared" si="2"/>
        <v>cancino</v>
      </c>
      <c r="M4">
        <f t="shared" ca="1" si="3"/>
        <v>0</v>
      </c>
      <c r="N4" t="s">
        <v>787</v>
      </c>
      <c r="O4" s="1">
        <f t="shared" si="4"/>
        <v>3</v>
      </c>
    </row>
    <row r="5" spans="1:15" x14ac:dyDescent="0.35">
      <c r="A5" s="44" t="s">
        <v>226</v>
      </c>
      <c r="B5" s="48">
        <v>4</v>
      </c>
      <c r="C5" t="s">
        <v>603</v>
      </c>
      <c r="D5" t="s">
        <v>604</v>
      </c>
      <c r="E5" t="s">
        <v>604</v>
      </c>
      <c r="F5" t="s">
        <v>605</v>
      </c>
      <c r="I5" s="1">
        <f t="shared" si="0"/>
        <v>4</v>
      </c>
      <c r="J5" s="1">
        <f t="shared" ref="J5:J68" si="5">IF(I5&lt;5,1,0)</f>
        <v>1</v>
      </c>
      <c r="K5" t="str">
        <f t="shared" si="1"/>
        <v>agustín</v>
      </c>
      <c r="L5" t="str">
        <f t="shared" si="2"/>
        <v>squella</v>
      </c>
      <c r="M5">
        <f t="shared" ca="1" si="3"/>
        <v>0</v>
      </c>
      <c r="N5" t="s">
        <v>788</v>
      </c>
      <c r="O5" s="1">
        <f t="shared" si="4"/>
        <v>4</v>
      </c>
    </row>
    <row r="6" spans="1:15" x14ac:dyDescent="0.35">
      <c r="A6" s="42" t="s">
        <v>227</v>
      </c>
      <c r="B6" s="48">
        <v>5</v>
      </c>
      <c r="C6" t="e" cm="1">
        <f t="array" aca="1" ref="C6:F6" ca="1">_xlfn.TEXTSPLIT(A6," ")</f>
        <v>#NAME?</v>
      </c>
      <c r="D6" t="e">
        <f ca="1"/>
        <v>#NAME?</v>
      </c>
      <c r="E6" t="e">
        <f ca="1"/>
        <v>#NAME?</v>
      </c>
      <c r="F6" t="e">
        <f ca="1"/>
        <v>#NAME?</v>
      </c>
      <c r="I6" s="1">
        <f t="shared" ca="1" si="0"/>
        <v>4</v>
      </c>
      <c r="J6" s="1">
        <f t="shared" ca="1" si="5"/>
        <v>1</v>
      </c>
      <c r="K6" t="e">
        <f t="shared" ca="1" si="1"/>
        <v>#NAME?</v>
      </c>
      <c r="L6" t="e">
        <f t="shared" ca="1" si="2"/>
        <v>#NAME?</v>
      </c>
      <c r="M6">
        <f t="shared" ca="1" si="3"/>
        <v>0</v>
      </c>
      <c r="N6" t="s">
        <v>789</v>
      </c>
      <c r="O6" s="1">
        <f t="shared" si="4"/>
        <v>5</v>
      </c>
    </row>
    <row r="7" spans="1:15" x14ac:dyDescent="0.35">
      <c r="A7" s="44" t="s">
        <v>228</v>
      </c>
      <c r="B7" s="48">
        <v>6</v>
      </c>
      <c r="C7" t="e" cm="1">
        <f t="array" aca="1" ref="C7:F7" ca="1">_xlfn.TEXTSPLIT(A7," ")</f>
        <v>#NAME?</v>
      </c>
      <c r="D7" t="e">
        <f ca="1"/>
        <v>#NAME?</v>
      </c>
      <c r="E7" t="e">
        <f ca="1"/>
        <v>#NAME?</v>
      </c>
      <c r="F7" t="e">
        <f ca="1"/>
        <v>#NAME?</v>
      </c>
      <c r="I7" s="1">
        <f t="shared" ca="1" si="0"/>
        <v>4</v>
      </c>
      <c r="J7" s="1">
        <f t="shared" ca="1" si="5"/>
        <v>1</v>
      </c>
      <c r="K7" t="e">
        <f t="shared" ca="1" si="1"/>
        <v>#NAME?</v>
      </c>
      <c r="L7" t="e">
        <f t="shared" ca="1" si="2"/>
        <v>#NAME?</v>
      </c>
      <c r="M7">
        <f t="shared" ca="1" si="3"/>
        <v>0</v>
      </c>
      <c r="N7" t="s">
        <v>790</v>
      </c>
      <c r="O7" s="1">
        <f t="shared" si="4"/>
        <v>6</v>
      </c>
    </row>
    <row r="8" spans="1:15" x14ac:dyDescent="0.35">
      <c r="A8" s="42" t="s">
        <v>229</v>
      </c>
      <c r="B8" s="48">
        <v>7</v>
      </c>
      <c r="C8" t="e" cm="1">
        <f t="array" aca="1" ref="C8:F8" ca="1">_xlfn.TEXTSPLIT(A8," ")</f>
        <v>#NAME?</v>
      </c>
      <c r="D8" t="e">
        <f ca="1"/>
        <v>#NAME?</v>
      </c>
      <c r="E8" t="e">
        <f ca="1"/>
        <v>#NAME?</v>
      </c>
      <c r="F8" t="e">
        <f ca="1"/>
        <v>#NAME?</v>
      </c>
      <c r="I8" s="1">
        <f t="shared" ca="1" si="0"/>
        <v>4</v>
      </c>
      <c r="J8" s="1">
        <f t="shared" ca="1" si="5"/>
        <v>1</v>
      </c>
      <c r="K8" t="e">
        <f t="shared" ca="1" si="1"/>
        <v>#NAME?</v>
      </c>
      <c r="L8" t="e">
        <f t="shared" ca="1" si="2"/>
        <v>#NAME?</v>
      </c>
      <c r="M8">
        <f t="shared" ca="1" si="3"/>
        <v>0</v>
      </c>
      <c r="N8" t="s">
        <v>791</v>
      </c>
      <c r="O8" s="1">
        <f t="shared" si="4"/>
        <v>7</v>
      </c>
    </row>
    <row r="9" spans="1:15" x14ac:dyDescent="0.35">
      <c r="A9" s="44" t="s">
        <v>230</v>
      </c>
      <c r="B9" s="48">
        <v>8</v>
      </c>
      <c r="C9" t="s">
        <v>667</v>
      </c>
      <c r="D9" t="s">
        <v>668</v>
      </c>
      <c r="E9" t="s">
        <v>668</v>
      </c>
      <c r="I9" s="1">
        <f t="shared" si="0"/>
        <v>3</v>
      </c>
      <c r="J9" s="1">
        <f t="shared" si="5"/>
        <v>1</v>
      </c>
      <c r="K9" t="str">
        <f t="shared" si="1"/>
        <v>alfredo</v>
      </c>
      <c r="L9" t="str">
        <f t="shared" si="2"/>
        <v>moreno</v>
      </c>
      <c r="M9">
        <f t="shared" ca="1" si="3"/>
        <v>0</v>
      </c>
      <c r="N9" t="s">
        <v>792</v>
      </c>
      <c r="O9" s="1">
        <f t="shared" si="4"/>
        <v>8</v>
      </c>
    </row>
    <row r="10" spans="1:15" x14ac:dyDescent="0.35">
      <c r="A10" s="42" t="s">
        <v>231</v>
      </c>
      <c r="B10" s="48">
        <v>9</v>
      </c>
      <c r="C10" t="s">
        <v>669</v>
      </c>
      <c r="D10" t="s">
        <v>670</v>
      </c>
      <c r="E10" t="s">
        <v>670</v>
      </c>
      <c r="F10" t="s">
        <v>671</v>
      </c>
      <c r="I10" s="1">
        <f t="shared" si="0"/>
        <v>4</v>
      </c>
      <c r="J10" s="1">
        <f t="shared" si="5"/>
        <v>1</v>
      </c>
      <c r="K10" t="str">
        <f t="shared" si="1"/>
        <v>alondra</v>
      </c>
      <c r="L10" t="str">
        <f t="shared" si="2"/>
        <v>carrillo</v>
      </c>
      <c r="M10">
        <f t="shared" ca="1" si="3"/>
        <v>0</v>
      </c>
      <c r="N10" t="s">
        <v>793</v>
      </c>
      <c r="O10" s="1">
        <f t="shared" si="4"/>
        <v>9</v>
      </c>
    </row>
    <row r="11" spans="1:15" x14ac:dyDescent="0.35">
      <c r="A11" s="44" t="s">
        <v>232</v>
      </c>
      <c r="B11" s="48">
        <v>10</v>
      </c>
      <c r="C11" t="e" cm="1">
        <f t="array" aca="1" ref="C11:F11" ca="1">_xlfn.TEXTSPLIT(A11," ")</f>
        <v>#NAME?</v>
      </c>
      <c r="D11" t="e">
        <f ca="1"/>
        <v>#NAME?</v>
      </c>
      <c r="E11" t="e">
        <f ca="1"/>
        <v>#NAME?</v>
      </c>
      <c r="F11" t="e">
        <f ca="1"/>
        <v>#NAME?</v>
      </c>
      <c r="I11" s="1">
        <f t="shared" ca="1" si="0"/>
        <v>4</v>
      </c>
      <c r="J11" s="1">
        <f t="shared" ca="1" si="5"/>
        <v>1</v>
      </c>
      <c r="K11" t="e">
        <f t="shared" ca="1" si="1"/>
        <v>#NAME?</v>
      </c>
      <c r="L11" t="e">
        <f t="shared" ca="1" si="2"/>
        <v>#NAME?</v>
      </c>
      <c r="M11">
        <f t="shared" ca="1" si="3"/>
        <v>0</v>
      </c>
      <c r="N11" t="s">
        <v>794</v>
      </c>
      <c r="O11" s="1">
        <f t="shared" si="4"/>
        <v>10</v>
      </c>
    </row>
    <row r="12" spans="1:15" x14ac:dyDescent="0.35">
      <c r="A12" s="42" t="s">
        <v>233</v>
      </c>
      <c r="B12" s="48">
        <v>11</v>
      </c>
      <c r="C12" t="e" cm="1">
        <f t="array" aca="1" ref="C12:F12" ca="1">_xlfn.TEXTSPLIT(A12," ")</f>
        <v>#NAME?</v>
      </c>
      <c r="D12" t="e">
        <f ca="1"/>
        <v>#NAME?</v>
      </c>
      <c r="E12" t="e">
        <f ca="1"/>
        <v>#NAME?</v>
      </c>
      <c r="F12" t="e">
        <f ca="1"/>
        <v>#NAME?</v>
      </c>
      <c r="I12" s="1">
        <f t="shared" ca="1" si="0"/>
        <v>4</v>
      </c>
      <c r="J12" s="1">
        <f t="shared" ca="1" si="5"/>
        <v>1</v>
      </c>
      <c r="K12" t="e">
        <f t="shared" ca="1" si="1"/>
        <v>#NAME?</v>
      </c>
      <c r="L12" t="e">
        <f t="shared" ca="1" si="2"/>
        <v>#NAME?</v>
      </c>
      <c r="M12">
        <f t="shared" ca="1" si="3"/>
        <v>0</v>
      </c>
      <c r="N12" t="s">
        <v>795</v>
      </c>
      <c r="O12" s="1">
        <f t="shared" si="4"/>
        <v>11</v>
      </c>
    </row>
    <row r="13" spans="1:15" x14ac:dyDescent="0.35">
      <c r="A13" s="44" t="s">
        <v>234</v>
      </c>
      <c r="B13" s="48">
        <v>12</v>
      </c>
      <c r="C13" t="e" cm="1">
        <f t="array" aca="1" ref="C13:F13" ca="1">_xlfn.TEXTSPLIT(A13," ")</f>
        <v>#NAME?</v>
      </c>
      <c r="D13" t="e">
        <f ca="1"/>
        <v>#NAME?</v>
      </c>
      <c r="E13" t="e">
        <f ca="1"/>
        <v>#NAME?</v>
      </c>
      <c r="F13" t="e">
        <f ca="1"/>
        <v>#NAME?</v>
      </c>
      <c r="I13" s="1">
        <f t="shared" ca="1" si="0"/>
        <v>4</v>
      </c>
      <c r="J13" s="1">
        <f t="shared" ca="1" si="5"/>
        <v>1</v>
      </c>
      <c r="K13" t="e">
        <f t="shared" ca="1" si="1"/>
        <v>#NAME?</v>
      </c>
      <c r="L13" t="e">
        <f t="shared" ca="1" si="2"/>
        <v>#NAME?</v>
      </c>
      <c r="M13">
        <f t="shared" ca="1" si="3"/>
        <v>0</v>
      </c>
      <c r="N13" t="s">
        <v>796</v>
      </c>
      <c r="O13" s="1">
        <f t="shared" si="4"/>
        <v>12</v>
      </c>
    </row>
    <row r="14" spans="1:15" x14ac:dyDescent="0.35">
      <c r="A14" s="42" t="s">
        <v>235</v>
      </c>
      <c r="B14" s="48">
        <v>13</v>
      </c>
      <c r="C14" t="e" cm="1">
        <f t="array" aca="1" ref="C14:F14" ca="1">_xlfn.TEXTSPLIT(A14," ")</f>
        <v>#NAME?</v>
      </c>
      <c r="D14" t="e">
        <f ca="1"/>
        <v>#NAME?</v>
      </c>
      <c r="E14" t="e">
        <f ca="1"/>
        <v>#NAME?</v>
      </c>
      <c r="F14" t="e">
        <f ca="1"/>
        <v>#NAME?</v>
      </c>
      <c r="I14" s="1">
        <f t="shared" ca="1" si="0"/>
        <v>4</v>
      </c>
      <c r="J14" s="1">
        <f t="shared" ca="1" si="5"/>
        <v>1</v>
      </c>
      <c r="K14" t="e">
        <f t="shared" ca="1" si="1"/>
        <v>#NAME?</v>
      </c>
      <c r="L14" t="e">
        <f t="shared" ca="1" si="2"/>
        <v>#NAME?</v>
      </c>
      <c r="M14">
        <f t="shared" ca="1" si="3"/>
        <v>0</v>
      </c>
      <c r="N14" t="s">
        <v>797</v>
      </c>
      <c r="O14" s="1">
        <f t="shared" si="4"/>
        <v>13</v>
      </c>
    </row>
    <row r="15" spans="1:15" x14ac:dyDescent="0.35">
      <c r="A15" s="44" t="s">
        <v>236</v>
      </c>
      <c r="B15" s="48">
        <v>14</v>
      </c>
      <c r="C15" t="e" cm="1">
        <f t="array" aca="1" ref="C15:F15" ca="1">_xlfn.TEXTSPLIT(A15," ")</f>
        <v>#NAME?</v>
      </c>
      <c r="D15" t="e">
        <f ca="1"/>
        <v>#NAME?</v>
      </c>
      <c r="E15" t="e">
        <f ca="1"/>
        <v>#NAME?</v>
      </c>
      <c r="F15" t="e">
        <f ca="1"/>
        <v>#NAME?</v>
      </c>
      <c r="I15" s="1">
        <f t="shared" ca="1" si="0"/>
        <v>4</v>
      </c>
      <c r="J15" s="1">
        <f t="shared" ca="1" si="5"/>
        <v>1</v>
      </c>
      <c r="K15" t="e">
        <f t="shared" ca="1" si="1"/>
        <v>#NAME?</v>
      </c>
      <c r="L15" t="e">
        <f t="shared" ca="1" si="2"/>
        <v>#NAME?</v>
      </c>
      <c r="M15">
        <f t="shared" ca="1" si="3"/>
        <v>0</v>
      </c>
      <c r="N15" t="s">
        <v>798</v>
      </c>
      <c r="O15" s="1">
        <f t="shared" si="4"/>
        <v>14</v>
      </c>
    </row>
    <row r="16" spans="1:15" x14ac:dyDescent="0.35">
      <c r="A16" s="42" t="s">
        <v>237</v>
      </c>
      <c r="B16" s="48">
        <v>15</v>
      </c>
      <c r="C16" t="e" cm="1">
        <f t="array" aca="1" ref="C16:F16" ca="1">_xlfn.TEXTSPLIT(A16," ")</f>
        <v>#NAME?</v>
      </c>
      <c r="D16" t="e">
        <f ca="1"/>
        <v>#NAME?</v>
      </c>
      <c r="E16" t="e">
        <f ca="1"/>
        <v>#NAME?</v>
      </c>
      <c r="F16" t="e">
        <f ca="1"/>
        <v>#NAME?</v>
      </c>
      <c r="I16" s="1">
        <f t="shared" ca="1" si="0"/>
        <v>4</v>
      </c>
      <c r="J16" s="1">
        <f t="shared" ca="1" si="5"/>
        <v>1</v>
      </c>
      <c r="K16" t="e">
        <f t="shared" ca="1" si="1"/>
        <v>#NAME?</v>
      </c>
      <c r="L16" t="e">
        <f t="shared" ca="1" si="2"/>
        <v>#NAME?</v>
      </c>
      <c r="M16">
        <f t="shared" ca="1" si="3"/>
        <v>0</v>
      </c>
      <c r="N16" t="s">
        <v>799</v>
      </c>
      <c r="O16" s="1">
        <f t="shared" si="4"/>
        <v>15</v>
      </c>
    </row>
    <row r="17" spans="1:15" x14ac:dyDescent="0.35">
      <c r="A17" s="44" t="s">
        <v>238</v>
      </c>
      <c r="B17" s="48">
        <v>16</v>
      </c>
      <c r="C17" t="s">
        <v>672</v>
      </c>
      <c r="D17" t="s">
        <v>673</v>
      </c>
      <c r="E17" t="s">
        <v>673</v>
      </c>
      <c r="F17" t="s">
        <v>674</v>
      </c>
      <c r="I17" s="1">
        <f t="shared" si="0"/>
        <v>4</v>
      </c>
      <c r="J17" s="1">
        <f t="shared" si="5"/>
        <v>1</v>
      </c>
      <c r="K17" t="str">
        <f t="shared" si="1"/>
        <v>bárbara</v>
      </c>
      <c r="L17" t="str">
        <f t="shared" si="2"/>
        <v>sepúlveda</v>
      </c>
      <c r="M17">
        <f t="shared" ca="1" si="3"/>
        <v>0</v>
      </c>
      <c r="N17" t="s">
        <v>800</v>
      </c>
      <c r="O17" s="1">
        <f t="shared" si="4"/>
        <v>16</v>
      </c>
    </row>
    <row r="18" spans="1:15" x14ac:dyDescent="0.35">
      <c r="A18" s="42" t="s">
        <v>239</v>
      </c>
      <c r="B18" s="48">
        <v>17</v>
      </c>
      <c r="C18" t="e" cm="1">
        <f t="array" aca="1" ref="C18:F18" ca="1">_xlfn.TEXTSPLIT(A18," ")</f>
        <v>#NAME?</v>
      </c>
      <c r="D18" t="e">
        <f ca="1"/>
        <v>#NAME?</v>
      </c>
      <c r="E18" t="e">
        <f ca="1"/>
        <v>#NAME?</v>
      </c>
      <c r="F18" t="e">
        <f ca="1"/>
        <v>#NAME?</v>
      </c>
      <c r="I18" s="1">
        <f t="shared" ca="1" si="0"/>
        <v>4</v>
      </c>
      <c r="J18" s="1">
        <f t="shared" ca="1" si="5"/>
        <v>1</v>
      </c>
      <c r="K18" t="e">
        <f t="shared" ca="1" si="1"/>
        <v>#NAME?</v>
      </c>
      <c r="L18" t="e">
        <f t="shared" ca="1" si="2"/>
        <v>#NAME?</v>
      </c>
      <c r="M18">
        <f t="shared" ca="1" si="3"/>
        <v>0</v>
      </c>
      <c r="N18" t="s">
        <v>801</v>
      </c>
      <c r="O18" s="1">
        <f t="shared" si="4"/>
        <v>17</v>
      </c>
    </row>
    <row r="19" spans="1:15" x14ac:dyDescent="0.35">
      <c r="A19" s="44" t="s">
        <v>240</v>
      </c>
      <c r="B19" s="48">
        <v>18</v>
      </c>
      <c r="C19" t="s">
        <v>607</v>
      </c>
      <c r="D19" t="s">
        <v>596</v>
      </c>
      <c r="E19" t="s">
        <v>608</v>
      </c>
      <c r="F19" t="s">
        <v>609</v>
      </c>
      <c r="I19" s="1">
        <f t="shared" si="0"/>
        <v>4</v>
      </c>
      <c r="J19" s="1">
        <f t="shared" si="5"/>
        <v>1</v>
      </c>
      <c r="K19" t="str">
        <f t="shared" si="1"/>
        <v>beatriz</v>
      </c>
      <c r="L19" t="str">
        <f t="shared" si="2"/>
        <v>sánchez</v>
      </c>
      <c r="M19">
        <f t="shared" ca="1" si="3"/>
        <v>0</v>
      </c>
      <c r="N19" t="s">
        <v>802</v>
      </c>
      <c r="O19" s="1">
        <f t="shared" si="4"/>
        <v>18</v>
      </c>
    </row>
    <row r="20" spans="1:15" x14ac:dyDescent="0.35">
      <c r="A20" s="42" t="s">
        <v>241</v>
      </c>
      <c r="B20" s="48">
        <v>19</v>
      </c>
      <c r="C20" t="e" cm="1">
        <f t="array" aca="1" ref="C20:F20" ca="1">_xlfn.TEXTSPLIT(A20," ")</f>
        <v>#NAME?</v>
      </c>
      <c r="D20" t="e">
        <f ca="1"/>
        <v>#NAME?</v>
      </c>
      <c r="E20" t="e">
        <f ca="1"/>
        <v>#NAME?</v>
      </c>
      <c r="F20" t="e">
        <f ca="1"/>
        <v>#NAME?</v>
      </c>
      <c r="I20" s="1">
        <f t="shared" ca="1" si="0"/>
        <v>4</v>
      </c>
      <c r="J20" s="1">
        <f t="shared" ca="1" si="5"/>
        <v>1</v>
      </c>
      <c r="K20" t="e">
        <f t="shared" ca="1" si="1"/>
        <v>#NAME?</v>
      </c>
      <c r="L20" t="e">
        <f t="shared" ca="1" si="2"/>
        <v>#NAME?</v>
      </c>
      <c r="M20">
        <f t="shared" ca="1" si="3"/>
        <v>0</v>
      </c>
      <c r="N20" t="s">
        <v>803</v>
      </c>
      <c r="O20" s="1">
        <f t="shared" si="4"/>
        <v>19</v>
      </c>
    </row>
    <row r="21" spans="1:15" x14ac:dyDescent="0.35">
      <c r="A21" s="44" t="s">
        <v>242</v>
      </c>
      <c r="B21" s="48">
        <v>20</v>
      </c>
      <c r="C21" t="s">
        <v>594</v>
      </c>
      <c r="D21" t="s">
        <v>595</v>
      </c>
      <c r="E21" t="s">
        <v>593</v>
      </c>
      <c r="F21" t="s">
        <v>598</v>
      </c>
      <c r="I21" s="1">
        <f>COUNTA(C21:G21)</f>
        <v>4</v>
      </c>
      <c r="J21" s="1">
        <f t="shared" si="5"/>
        <v>1</v>
      </c>
      <c r="K21" t="str">
        <f t="shared" si="1"/>
        <v>bernardo</v>
      </c>
      <c r="L21" t="str">
        <f t="shared" si="2"/>
        <v>de la maza</v>
      </c>
      <c r="M21">
        <f t="shared" ca="1" si="3"/>
        <v>0</v>
      </c>
      <c r="N21" t="s">
        <v>804</v>
      </c>
      <c r="O21" s="1">
        <f t="shared" si="4"/>
        <v>20</v>
      </c>
    </row>
    <row r="22" spans="1:15" x14ac:dyDescent="0.35">
      <c r="A22" s="42" t="s">
        <v>243</v>
      </c>
      <c r="B22" s="48">
        <v>21</v>
      </c>
      <c r="C22" t="s">
        <v>594</v>
      </c>
      <c r="D22" t="s">
        <v>675</v>
      </c>
      <c r="E22" t="s">
        <v>675</v>
      </c>
      <c r="F22" t="s">
        <v>676</v>
      </c>
      <c r="I22" s="1">
        <f t="shared" si="0"/>
        <v>4</v>
      </c>
      <c r="J22" s="1">
        <f t="shared" si="5"/>
        <v>1</v>
      </c>
      <c r="K22" t="str">
        <f t="shared" si="1"/>
        <v>bernardo</v>
      </c>
      <c r="L22" t="str">
        <f t="shared" si="2"/>
        <v>fontaine</v>
      </c>
      <c r="M22">
        <f t="shared" ca="1" si="3"/>
        <v>0</v>
      </c>
      <c r="N22" t="s">
        <v>805</v>
      </c>
      <c r="O22" s="1">
        <f t="shared" si="4"/>
        <v>21</v>
      </c>
    </row>
    <row r="23" spans="1:15" x14ac:dyDescent="0.35">
      <c r="A23" s="44" t="s">
        <v>244</v>
      </c>
      <c r="B23" s="48">
        <v>22</v>
      </c>
      <c r="C23" t="s">
        <v>610</v>
      </c>
      <c r="D23" t="s">
        <v>611</v>
      </c>
      <c r="E23" t="s">
        <v>613</v>
      </c>
      <c r="F23" t="s">
        <v>614</v>
      </c>
      <c r="I23" s="1">
        <f t="shared" si="0"/>
        <v>4</v>
      </c>
      <c r="J23" s="1">
        <f t="shared" si="5"/>
        <v>1</v>
      </c>
      <c r="K23" t="str">
        <f t="shared" si="1"/>
        <v>bessy</v>
      </c>
      <c r="L23" t="str">
        <f t="shared" si="2"/>
        <v>gallardo</v>
      </c>
      <c r="M23">
        <f t="shared" ca="1" si="3"/>
        <v>0</v>
      </c>
      <c r="N23" t="s">
        <v>806</v>
      </c>
      <c r="O23" s="1">
        <f t="shared" si="4"/>
        <v>22</v>
      </c>
    </row>
    <row r="24" spans="1:15" x14ac:dyDescent="0.35">
      <c r="A24" s="42" t="s">
        <v>245</v>
      </c>
      <c r="B24" s="48">
        <v>23</v>
      </c>
      <c r="C24" t="e" cm="1">
        <f t="array" aca="1" ref="C24:F24" ca="1">_xlfn.TEXTSPLIT(A24," ")</f>
        <v>#NAME?</v>
      </c>
      <c r="D24" t="e">
        <f ca="1"/>
        <v>#NAME?</v>
      </c>
      <c r="E24" t="e">
        <f ca="1"/>
        <v>#NAME?</v>
      </c>
      <c r="F24" t="e">
        <f ca="1"/>
        <v>#NAME?</v>
      </c>
      <c r="I24" s="1">
        <f t="shared" ca="1" si="0"/>
        <v>4</v>
      </c>
      <c r="J24" s="1">
        <f t="shared" ca="1" si="5"/>
        <v>1</v>
      </c>
      <c r="K24" t="e">
        <f t="shared" ca="1" si="1"/>
        <v>#NAME?</v>
      </c>
      <c r="L24" t="e">
        <f t="shared" ca="1" si="2"/>
        <v>#NAME?</v>
      </c>
      <c r="M24">
        <f t="shared" ca="1" si="3"/>
        <v>0</v>
      </c>
      <c r="N24" t="s">
        <v>807</v>
      </c>
      <c r="O24" s="1">
        <f t="shared" si="4"/>
        <v>23</v>
      </c>
    </row>
    <row r="25" spans="1:15" x14ac:dyDescent="0.35">
      <c r="A25" s="44" t="s">
        <v>246</v>
      </c>
      <c r="B25" s="48">
        <v>24</v>
      </c>
      <c r="C25" t="e" cm="1">
        <f t="array" aca="1" ref="C25:F25" ca="1">_xlfn.TEXTSPLIT(A25," ")</f>
        <v>#NAME?</v>
      </c>
      <c r="D25" t="e">
        <f ca="1"/>
        <v>#NAME?</v>
      </c>
      <c r="E25" t="e">
        <f ca="1"/>
        <v>#NAME?</v>
      </c>
      <c r="F25" t="e">
        <f ca="1"/>
        <v>#NAME?</v>
      </c>
      <c r="I25" s="1">
        <f t="shared" ca="1" si="0"/>
        <v>4</v>
      </c>
      <c r="J25" s="1">
        <f t="shared" ca="1" si="5"/>
        <v>1</v>
      </c>
      <c r="K25" t="e">
        <f t="shared" ca="1" si="1"/>
        <v>#NAME?</v>
      </c>
      <c r="L25" t="e">
        <f t="shared" ca="1" si="2"/>
        <v>#NAME?</v>
      </c>
      <c r="M25">
        <f t="shared" ca="1" si="3"/>
        <v>0</v>
      </c>
      <c r="N25" t="s">
        <v>808</v>
      </c>
      <c r="O25" s="1">
        <f t="shared" si="4"/>
        <v>24</v>
      </c>
    </row>
    <row r="26" spans="1:15" x14ac:dyDescent="0.35">
      <c r="A26" s="42" t="s">
        <v>247</v>
      </c>
      <c r="B26" s="48">
        <v>25</v>
      </c>
      <c r="C26" t="s">
        <v>731</v>
      </c>
      <c r="D26" t="s">
        <v>731</v>
      </c>
      <c r="E26" t="s">
        <v>732</v>
      </c>
      <c r="F26" t="s">
        <v>733</v>
      </c>
      <c r="I26" s="1">
        <f t="shared" si="0"/>
        <v>4</v>
      </c>
      <c r="J26" s="1">
        <f t="shared" si="5"/>
        <v>1</v>
      </c>
      <c r="K26" t="str">
        <f t="shared" si="1"/>
        <v>martín</v>
      </c>
      <c r="L26" t="str">
        <f t="shared" si="2"/>
        <v>arrau</v>
      </c>
      <c r="M26">
        <f t="shared" ca="1" si="3"/>
        <v>0</v>
      </c>
      <c r="N26" t="s">
        <v>809</v>
      </c>
      <c r="O26" s="1">
        <f t="shared" si="4"/>
        <v>25</v>
      </c>
    </row>
    <row r="27" spans="1:15" x14ac:dyDescent="0.35">
      <c r="A27" s="44" t="s">
        <v>248</v>
      </c>
      <c r="B27" s="48">
        <v>26</v>
      </c>
      <c r="C27" t="e" cm="1">
        <f t="array" aca="1" ref="C27:F27" ca="1">_xlfn.TEXTSPLIT(A27," ")</f>
        <v>#NAME?</v>
      </c>
      <c r="D27" t="e">
        <f ca="1"/>
        <v>#NAME?</v>
      </c>
      <c r="E27" t="e">
        <f ca="1"/>
        <v>#NAME?</v>
      </c>
      <c r="F27" t="e">
        <f ca="1"/>
        <v>#NAME?</v>
      </c>
      <c r="I27" s="1">
        <f t="shared" ca="1" si="0"/>
        <v>4</v>
      </c>
      <c r="J27" s="1">
        <f t="shared" ca="1" si="5"/>
        <v>1</v>
      </c>
      <c r="K27" t="e">
        <f t="shared" ca="1" si="1"/>
        <v>#NAME?</v>
      </c>
      <c r="L27" t="e">
        <f t="shared" ca="1" si="2"/>
        <v>#NAME?</v>
      </c>
      <c r="M27">
        <f t="shared" ca="1" si="3"/>
        <v>0</v>
      </c>
      <c r="N27" t="s">
        <v>810</v>
      </c>
      <c r="O27" s="1">
        <f t="shared" si="4"/>
        <v>26</v>
      </c>
    </row>
    <row r="28" spans="1:15" x14ac:dyDescent="0.35">
      <c r="A28" s="42" t="s">
        <v>567</v>
      </c>
      <c r="B28" s="48">
        <v>27</v>
      </c>
      <c r="C28" t="e" cm="1">
        <f t="array" aca="1" ref="C28:F28" ca="1">_xlfn.TEXTSPLIT(A28," ")</f>
        <v>#NAME?</v>
      </c>
      <c r="D28" t="e">
        <f ca="1"/>
        <v>#NAME?</v>
      </c>
      <c r="E28" t="e">
        <f ca="1"/>
        <v>#NAME?</v>
      </c>
      <c r="F28" t="e">
        <f ca="1"/>
        <v>#NAME?</v>
      </c>
      <c r="I28" s="1">
        <f t="shared" ca="1" si="0"/>
        <v>4</v>
      </c>
      <c r="J28" s="1">
        <f t="shared" ca="1" si="5"/>
        <v>1</v>
      </c>
      <c r="K28" t="e">
        <f t="shared" ca="1" si="1"/>
        <v>#NAME?</v>
      </c>
      <c r="L28" t="e">
        <f t="shared" ca="1" si="2"/>
        <v>#NAME?</v>
      </c>
      <c r="M28">
        <f t="shared" ca="1" si="3"/>
        <v>0</v>
      </c>
      <c r="N28" t="s">
        <v>811</v>
      </c>
      <c r="O28" s="1">
        <f t="shared" si="4"/>
        <v>27</v>
      </c>
    </row>
    <row r="29" spans="1:15" x14ac:dyDescent="0.35">
      <c r="A29" s="44" t="s">
        <v>249</v>
      </c>
      <c r="B29" s="48">
        <v>28</v>
      </c>
      <c r="C29" t="e" cm="1">
        <f t="array" aca="1" ref="C29:F29" ca="1">_xlfn.TEXTSPLIT(A29," ")</f>
        <v>#NAME?</v>
      </c>
      <c r="D29" t="e">
        <f ca="1"/>
        <v>#NAME?</v>
      </c>
      <c r="E29" t="e">
        <f ca="1"/>
        <v>#NAME?</v>
      </c>
      <c r="F29" t="e">
        <f ca="1"/>
        <v>#NAME?</v>
      </c>
      <c r="I29" s="1">
        <f t="shared" ca="1" si="0"/>
        <v>4</v>
      </c>
      <c r="J29" s="1">
        <f t="shared" ca="1" si="5"/>
        <v>1</v>
      </c>
      <c r="K29" t="e">
        <f t="shared" ca="1" si="1"/>
        <v>#NAME?</v>
      </c>
      <c r="L29" t="e">
        <f t="shared" ca="1" si="2"/>
        <v>#NAME?</v>
      </c>
      <c r="M29">
        <f t="shared" ca="1" si="3"/>
        <v>0</v>
      </c>
      <c r="N29" t="s">
        <v>812</v>
      </c>
      <c r="O29" s="1">
        <f t="shared" si="4"/>
        <v>28</v>
      </c>
    </row>
    <row r="30" spans="1:15" x14ac:dyDescent="0.35">
      <c r="A30" s="42" t="s">
        <v>250</v>
      </c>
      <c r="B30" s="48">
        <v>29</v>
      </c>
      <c r="C30" t="e" cm="1">
        <f t="array" aca="1" ref="C30:F30" ca="1">_xlfn.TEXTSPLIT(A30," ")</f>
        <v>#NAME?</v>
      </c>
      <c r="D30" t="e">
        <f ca="1"/>
        <v>#NAME?</v>
      </c>
      <c r="E30" t="e">
        <f ca="1"/>
        <v>#NAME?</v>
      </c>
      <c r="F30" t="e">
        <f ca="1"/>
        <v>#NAME?</v>
      </c>
      <c r="I30" s="1">
        <f t="shared" ca="1" si="0"/>
        <v>4</v>
      </c>
      <c r="J30" s="1">
        <f t="shared" ca="1" si="5"/>
        <v>1</v>
      </c>
      <c r="K30" t="e">
        <f t="shared" ca="1" si="1"/>
        <v>#NAME?</v>
      </c>
      <c r="L30" t="e">
        <f t="shared" ca="1" si="2"/>
        <v>#NAME?</v>
      </c>
      <c r="M30">
        <f t="shared" ca="1" si="3"/>
        <v>0</v>
      </c>
      <c r="N30" t="s">
        <v>813</v>
      </c>
      <c r="O30" s="1">
        <f t="shared" si="4"/>
        <v>29</v>
      </c>
    </row>
    <row r="31" spans="1:15" x14ac:dyDescent="0.35">
      <c r="A31" s="44" t="s">
        <v>251</v>
      </c>
      <c r="B31" s="48">
        <v>30</v>
      </c>
      <c r="C31" t="e" cm="1">
        <f t="array" aca="1" ref="C31:F31" ca="1">_xlfn.TEXTSPLIT(A31," ")</f>
        <v>#NAME?</v>
      </c>
      <c r="D31" t="e">
        <f ca="1"/>
        <v>#NAME?</v>
      </c>
      <c r="E31" t="e">
        <f ca="1"/>
        <v>#NAME?</v>
      </c>
      <c r="F31" t="e">
        <f ca="1"/>
        <v>#NAME?</v>
      </c>
      <c r="I31" s="1">
        <f t="shared" ca="1" si="0"/>
        <v>4</v>
      </c>
      <c r="J31" s="1">
        <f t="shared" ca="1" si="5"/>
        <v>1</v>
      </c>
      <c r="K31" t="e">
        <f t="shared" ca="1" si="1"/>
        <v>#NAME?</v>
      </c>
      <c r="L31" t="e">
        <f t="shared" ca="1" si="2"/>
        <v>#NAME?</v>
      </c>
      <c r="M31">
        <f t="shared" ca="1" si="3"/>
        <v>0</v>
      </c>
      <c r="N31" t="s">
        <v>814</v>
      </c>
      <c r="O31" s="1">
        <f t="shared" si="4"/>
        <v>30</v>
      </c>
    </row>
    <row r="32" spans="1:15" x14ac:dyDescent="0.35">
      <c r="A32" s="42" t="s">
        <v>252</v>
      </c>
      <c r="B32" s="48">
        <v>31</v>
      </c>
      <c r="C32" t="e" cm="1">
        <f t="array" aca="1" ref="C32:F32" ca="1">_xlfn.TEXTSPLIT(A32," ")</f>
        <v>#NAME?</v>
      </c>
      <c r="D32" t="e">
        <f ca="1"/>
        <v>#NAME?</v>
      </c>
      <c r="E32" t="e">
        <f ca="1"/>
        <v>#NAME?</v>
      </c>
      <c r="F32" t="e">
        <f ca="1"/>
        <v>#NAME?</v>
      </c>
      <c r="I32" s="1">
        <f t="shared" ca="1" si="0"/>
        <v>4</v>
      </c>
      <c r="J32" s="1">
        <f t="shared" ca="1" si="5"/>
        <v>1</v>
      </c>
      <c r="K32" t="e">
        <f t="shared" ca="1" si="1"/>
        <v>#NAME?</v>
      </c>
      <c r="L32" t="e">
        <f t="shared" ca="1" si="2"/>
        <v>#NAME?</v>
      </c>
      <c r="M32">
        <f t="shared" ca="1" si="3"/>
        <v>0</v>
      </c>
      <c r="N32" t="s">
        <v>815</v>
      </c>
      <c r="O32" s="1">
        <f t="shared" si="4"/>
        <v>31</v>
      </c>
    </row>
    <row r="33" spans="1:15" x14ac:dyDescent="0.35">
      <c r="A33" s="44" t="s">
        <v>253</v>
      </c>
      <c r="B33" s="48">
        <v>32</v>
      </c>
      <c r="C33" t="e" cm="1">
        <f t="array" aca="1" ref="C33:F33" ca="1">_xlfn.TEXTSPLIT(A33," ")</f>
        <v>#NAME?</v>
      </c>
      <c r="D33" t="e">
        <f ca="1"/>
        <v>#NAME?</v>
      </c>
      <c r="E33" t="e">
        <f ca="1"/>
        <v>#NAME?</v>
      </c>
      <c r="F33" t="e">
        <f ca="1"/>
        <v>#NAME?</v>
      </c>
      <c r="I33" s="1">
        <f t="shared" ca="1" si="0"/>
        <v>4</v>
      </c>
      <c r="J33" s="1">
        <f t="shared" ca="1" si="5"/>
        <v>1</v>
      </c>
      <c r="K33" t="e">
        <f t="shared" ca="1" si="1"/>
        <v>#NAME?</v>
      </c>
      <c r="L33" t="e">
        <f t="shared" ca="1" si="2"/>
        <v>#NAME?</v>
      </c>
      <c r="M33">
        <f t="shared" ca="1" si="3"/>
        <v>0</v>
      </c>
      <c r="N33" t="s">
        <v>816</v>
      </c>
      <c r="O33" s="1">
        <f t="shared" si="4"/>
        <v>32</v>
      </c>
    </row>
    <row r="34" spans="1:15" x14ac:dyDescent="0.35">
      <c r="A34" s="42" t="s">
        <v>254</v>
      </c>
      <c r="B34" s="48">
        <v>33</v>
      </c>
      <c r="C34" t="e" cm="1">
        <f t="array" aca="1" ref="C34:F34" ca="1">_xlfn.TEXTSPLIT(A34," ")</f>
        <v>#NAME?</v>
      </c>
      <c r="D34" t="e">
        <f ca="1"/>
        <v>#NAME?</v>
      </c>
      <c r="E34" t="e">
        <f ca="1"/>
        <v>#NAME?</v>
      </c>
      <c r="F34" t="e">
        <f ca="1"/>
        <v>#NAME?</v>
      </c>
      <c r="I34" s="1">
        <f t="shared" ca="1" si="0"/>
        <v>4</v>
      </c>
      <c r="J34" s="1">
        <f t="shared" ca="1" si="5"/>
        <v>1</v>
      </c>
      <c r="K34" t="e">
        <f t="shared" ca="1" si="1"/>
        <v>#NAME?</v>
      </c>
      <c r="L34" t="e">
        <f t="shared" ca="1" si="2"/>
        <v>#NAME?</v>
      </c>
      <c r="M34">
        <f t="shared" ca="1" si="3"/>
        <v>0</v>
      </c>
      <c r="N34" t="s">
        <v>817</v>
      </c>
      <c r="O34" s="1">
        <f t="shared" si="4"/>
        <v>33</v>
      </c>
    </row>
    <row r="35" spans="1:15" x14ac:dyDescent="0.35">
      <c r="A35" s="44" t="s">
        <v>255</v>
      </c>
      <c r="B35" s="48">
        <v>34</v>
      </c>
      <c r="C35" t="s">
        <v>657</v>
      </c>
      <c r="D35" t="s">
        <v>657</v>
      </c>
      <c r="E35" t="s">
        <v>701</v>
      </c>
      <c r="F35" t="s">
        <v>730</v>
      </c>
      <c r="I35" s="1">
        <f t="shared" si="0"/>
        <v>4</v>
      </c>
      <c r="J35" s="1">
        <f t="shared" si="5"/>
        <v>1</v>
      </c>
      <c r="K35" t="str">
        <f t="shared" si="1"/>
        <v>margarita</v>
      </c>
      <c r="L35" t="str">
        <f t="shared" si="2"/>
        <v>letelier</v>
      </c>
      <c r="M35">
        <f t="shared" ca="1" si="3"/>
        <v>0</v>
      </c>
      <c r="N35" t="s">
        <v>818</v>
      </c>
      <c r="O35" s="1">
        <f t="shared" si="4"/>
        <v>34</v>
      </c>
    </row>
    <row r="36" spans="1:15" x14ac:dyDescent="0.35">
      <c r="A36" s="42" t="s">
        <v>256</v>
      </c>
      <c r="B36" s="48">
        <v>35</v>
      </c>
      <c r="C36" t="e" cm="1">
        <f t="array" aca="1" ref="C36:F36" ca="1">_xlfn.TEXTSPLIT(A36," ")</f>
        <v>#NAME?</v>
      </c>
      <c r="D36" t="e">
        <f ca="1"/>
        <v>#NAME?</v>
      </c>
      <c r="E36" t="e">
        <f ca="1"/>
        <v>#NAME?</v>
      </c>
      <c r="F36" t="e">
        <f ca="1"/>
        <v>#NAME?</v>
      </c>
      <c r="I36" s="1">
        <f t="shared" ca="1" si="0"/>
        <v>4</v>
      </c>
      <c r="J36" s="1">
        <f t="shared" ca="1" si="5"/>
        <v>1</v>
      </c>
      <c r="K36" t="e">
        <f t="shared" ca="1" si="1"/>
        <v>#NAME?</v>
      </c>
      <c r="L36" t="e">
        <f t="shared" ca="1" si="2"/>
        <v>#NAME?</v>
      </c>
      <c r="M36">
        <f t="shared" ca="1" si="3"/>
        <v>0</v>
      </c>
      <c r="N36" t="s">
        <v>819</v>
      </c>
      <c r="O36" s="1">
        <f t="shared" si="4"/>
        <v>35</v>
      </c>
    </row>
    <row r="37" spans="1:15" x14ac:dyDescent="0.35">
      <c r="A37" s="44" t="s">
        <v>257</v>
      </c>
      <c r="B37" s="48">
        <v>36</v>
      </c>
      <c r="C37" t="s">
        <v>615</v>
      </c>
      <c r="D37" t="s">
        <v>616</v>
      </c>
      <c r="E37" t="s">
        <v>618</v>
      </c>
      <c r="F37" t="s">
        <v>617</v>
      </c>
      <c r="I37" s="1">
        <f t="shared" si="0"/>
        <v>4</v>
      </c>
      <c r="J37" s="1">
        <f t="shared" si="5"/>
        <v>1</v>
      </c>
      <c r="K37" t="str">
        <f t="shared" si="1"/>
        <v>constanza</v>
      </c>
      <c r="L37" t="str">
        <f t="shared" si="2"/>
        <v>san juan</v>
      </c>
      <c r="M37">
        <f t="shared" ca="1" si="3"/>
        <v>0</v>
      </c>
      <c r="N37" t="s">
        <v>820</v>
      </c>
      <c r="O37" s="1">
        <f t="shared" si="4"/>
        <v>36</v>
      </c>
    </row>
    <row r="38" spans="1:15" x14ac:dyDescent="0.35">
      <c r="A38" s="42" t="s">
        <v>258</v>
      </c>
      <c r="B38" s="48">
        <v>37</v>
      </c>
      <c r="C38" t="e" cm="1">
        <f t="array" aca="1" ref="C38:F38" ca="1">_xlfn.TEXTSPLIT(A38," ")</f>
        <v>#NAME?</v>
      </c>
      <c r="D38" t="e">
        <f ca="1"/>
        <v>#NAME?</v>
      </c>
      <c r="E38" t="e">
        <f ca="1"/>
        <v>#NAME?</v>
      </c>
      <c r="F38" t="e">
        <f ca="1"/>
        <v>#NAME?</v>
      </c>
      <c r="I38" s="1">
        <f t="shared" ca="1" si="0"/>
        <v>4</v>
      </c>
      <c r="J38" s="1">
        <f t="shared" ca="1" si="5"/>
        <v>1</v>
      </c>
      <c r="K38" t="e">
        <f t="shared" ca="1" si="1"/>
        <v>#NAME?</v>
      </c>
      <c r="L38" t="e">
        <f t="shared" ca="1" si="2"/>
        <v>#NAME?</v>
      </c>
      <c r="M38">
        <f t="shared" ca="1" si="3"/>
        <v>0</v>
      </c>
      <c r="N38" t="s">
        <v>821</v>
      </c>
      <c r="O38" s="1">
        <f t="shared" si="4"/>
        <v>37</v>
      </c>
    </row>
    <row r="39" spans="1:15" x14ac:dyDescent="0.35">
      <c r="A39" s="44" t="s">
        <v>259</v>
      </c>
      <c r="B39" s="48">
        <v>38</v>
      </c>
      <c r="C39" t="e" cm="1">
        <f t="array" aca="1" ref="C39:F39" ca="1">_xlfn.TEXTSPLIT(A39," ")</f>
        <v>#NAME?</v>
      </c>
      <c r="D39" t="e">
        <f ca="1"/>
        <v>#NAME?</v>
      </c>
      <c r="E39" t="e">
        <f ca="1"/>
        <v>#NAME?</v>
      </c>
      <c r="F39" t="e">
        <f ca="1"/>
        <v>#NAME?</v>
      </c>
      <c r="I39" s="1">
        <f t="shared" ca="1" si="0"/>
        <v>4</v>
      </c>
      <c r="J39" s="1">
        <f t="shared" ca="1" si="5"/>
        <v>1</v>
      </c>
      <c r="K39" t="e">
        <f t="shared" ca="1" si="1"/>
        <v>#NAME?</v>
      </c>
      <c r="L39" t="e">
        <f t="shared" ca="1" si="2"/>
        <v>#NAME?</v>
      </c>
      <c r="M39">
        <f t="shared" ca="1" si="3"/>
        <v>0</v>
      </c>
      <c r="N39" t="s">
        <v>822</v>
      </c>
      <c r="O39" s="1">
        <f t="shared" si="4"/>
        <v>38</v>
      </c>
    </row>
    <row r="40" spans="1:15" x14ac:dyDescent="0.35">
      <c r="A40" s="42" t="s">
        <v>260</v>
      </c>
      <c r="B40" s="48">
        <v>39</v>
      </c>
      <c r="C40" t="s">
        <v>677</v>
      </c>
      <c r="D40" t="s">
        <v>678</v>
      </c>
      <c r="E40" t="s">
        <v>678</v>
      </c>
      <c r="F40" t="s">
        <v>679</v>
      </c>
      <c r="I40" s="1">
        <f t="shared" si="0"/>
        <v>4</v>
      </c>
      <c r="J40" s="1">
        <f t="shared" si="5"/>
        <v>1</v>
      </c>
      <c r="K40" t="str">
        <f t="shared" si="1"/>
        <v>cristián</v>
      </c>
      <c r="L40" t="str">
        <f t="shared" si="2"/>
        <v>monckeberg</v>
      </c>
      <c r="M40">
        <f t="shared" ca="1" si="3"/>
        <v>0</v>
      </c>
      <c r="N40" t="s">
        <v>823</v>
      </c>
      <c r="O40" s="1">
        <f t="shared" si="4"/>
        <v>39</v>
      </c>
    </row>
    <row r="41" spans="1:15" x14ac:dyDescent="0.35">
      <c r="A41" s="44" t="s">
        <v>261</v>
      </c>
      <c r="B41" s="48">
        <v>40</v>
      </c>
      <c r="C41" t="e" cm="1">
        <f t="array" aca="1" ref="C41:F41" ca="1">_xlfn.TEXTSPLIT(A41," ")</f>
        <v>#NAME?</v>
      </c>
      <c r="D41" t="e">
        <f ca="1"/>
        <v>#NAME?</v>
      </c>
      <c r="E41" t="e">
        <f ca="1"/>
        <v>#NAME?</v>
      </c>
      <c r="F41" t="e">
        <f ca="1"/>
        <v>#NAME?</v>
      </c>
      <c r="I41" s="1">
        <f t="shared" ca="1" si="0"/>
        <v>4</v>
      </c>
      <c r="J41" s="1">
        <f t="shared" ca="1" si="5"/>
        <v>1</v>
      </c>
      <c r="K41" t="e">
        <f t="shared" ca="1" si="1"/>
        <v>#NAME?</v>
      </c>
      <c r="L41" t="e">
        <f t="shared" ca="1" si="2"/>
        <v>#NAME?</v>
      </c>
      <c r="M41">
        <f t="shared" ca="1" si="3"/>
        <v>0</v>
      </c>
      <c r="N41" t="s">
        <v>824</v>
      </c>
      <c r="O41" s="1">
        <f t="shared" si="4"/>
        <v>40</v>
      </c>
    </row>
    <row r="42" spans="1:15" x14ac:dyDescent="0.35">
      <c r="A42" s="42" t="s">
        <v>262</v>
      </c>
      <c r="B42" s="48">
        <v>41</v>
      </c>
      <c r="C42" t="e" cm="1">
        <f t="array" aca="1" ref="C42:F42" ca="1">_xlfn.TEXTSPLIT(A42," ")</f>
        <v>#NAME?</v>
      </c>
      <c r="D42" t="e">
        <f ca="1"/>
        <v>#NAME?</v>
      </c>
      <c r="E42" t="e">
        <f ca="1"/>
        <v>#NAME?</v>
      </c>
      <c r="F42" t="e">
        <f ca="1"/>
        <v>#NAME?</v>
      </c>
      <c r="I42" s="1">
        <f t="shared" ca="1" si="0"/>
        <v>4</v>
      </c>
      <c r="J42" s="1">
        <f t="shared" ca="1" si="5"/>
        <v>1</v>
      </c>
      <c r="K42" t="e">
        <f t="shared" ca="1" si="1"/>
        <v>#NAME?</v>
      </c>
      <c r="L42" t="e">
        <f t="shared" ca="1" si="2"/>
        <v>#NAME?</v>
      </c>
      <c r="M42">
        <f t="shared" ca="1" si="3"/>
        <v>0</v>
      </c>
      <c r="N42" t="s">
        <v>825</v>
      </c>
      <c r="O42" s="1">
        <f t="shared" si="4"/>
        <v>41</v>
      </c>
    </row>
    <row r="43" spans="1:15" x14ac:dyDescent="0.35">
      <c r="A43" s="44" t="s">
        <v>263</v>
      </c>
      <c r="B43" s="48">
        <v>42</v>
      </c>
      <c r="C43" t="s">
        <v>680</v>
      </c>
      <c r="D43" t="s">
        <v>681</v>
      </c>
      <c r="E43" t="s">
        <v>682</v>
      </c>
      <c r="F43" t="s">
        <v>682</v>
      </c>
      <c r="I43" s="1">
        <f t="shared" si="0"/>
        <v>4</v>
      </c>
      <c r="J43" s="1">
        <f t="shared" si="5"/>
        <v>1</v>
      </c>
      <c r="K43" t="str">
        <f t="shared" si="1"/>
        <v>damaris</v>
      </c>
      <c r="L43" t="str">
        <f t="shared" si="2"/>
        <v>abarca</v>
      </c>
      <c r="M43">
        <f t="shared" ca="1" si="3"/>
        <v>0</v>
      </c>
      <c r="N43" t="s">
        <v>826</v>
      </c>
      <c r="O43" s="1">
        <f t="shared" si="4"/>
        <v>42</v>
      </c>
    </row>
    <row r="44" spans="1:15" x14ac:dyDescent="0.35">
      <c r="A44" s="42" t="s">
        <v>264</v>
      </c>
      <c r="B44" s="48">
        <v>43</v>
      </c>
      <c r="C44" t="e" cm="1">
        <f t="array" aca="1" ref="C44:F44" ca="1">_xlfn.TEXTSPLIT(A44," ")</f>
        <v>#NAME?</v>
      </c>
      <c r="D44" t="e">
        <f ca="1"/>
        <v>#NAME?</v>
      </c>
      <c r="E44" t="e">
        <f ca="1"/>
        <v>#NAME?</v>
      </c>
      <c r="F44" t="e">
        <f ca="1"/>
        <v>#NAME?</v>
      </c>
      <c r="I44" s="1">
        <f t="shared" ca="1" si="0"/>
        <v>4</v>
      </c>
      <c r="J44" s="1">
        <f t="shared" ca="1" si="5"/>
        <v>1</v>
      </c>
      <c r="K44" t="e">
        <f t="shared" ca="1" si="1"/>
        <v>#NAME?</v>
      </c>
      <c r="L44" t="e">
        <f t="shared" ca="1" si="2"/>
        <v>#NAME?</v>
      </c>
      <c r="M44">
        <f t="shared" ca="1" si="3"/>
        <v>0</v>
      </c>
      <c r="N44" t="s">
        <v>827</v>
      </c>
      <c r="O44" s="1">
        <f t="shared" si="4"/>
        <v>43</v>
      </c>
    </row>
    <row r="45" spans="1:15" x14ac:dyDescent="0.35">
      <c r="A45" s="44" t="s">
        <v>265</v>
      </c>
      <c r="B45" s="48">
        <v>44</v>
      </c>
      <c r="C45" t="e" cm="1">
        <f t="array" aca="1" ref="C45:F45" ca="1">_xlfn.TEXTSPLIT(A45," ")</f>
        <v>#NAME?</v>
      </c>
      <c r="D45" t="e">
        <f ca="1"/>
        <v>#NAME?</v>
      </c>
      <c r="E45" t="e">
        <f ca="1"/>
        <v>#NAME?</v>
      </c>
      <c r="F45" t="e">
        <f ca="1"/>
        <v>#NAME?</v>
      </c>
      <c r="I45" s="1">
        <f t="shared" ca="1" si="0"/>
        <v>4</v>
      </c>
      <c r="J45" s="1">
        <f t="shared" ca="1" si="5"/>
        <v>1</v>
      </c>
      <c r="K45" t="e">
        <f t="shared" ca="1" si="1"/>
        <v>#NAME?</v>
      </c>
      <c r="L45" t="e">
        <f t="shared" ca="1" si="2"/>
        <v>#NAME?</v>
      </c>
      <c r="M45">
        <f t="shared" ca="1" si="3"/>
        <v>0</v>
      </c>
      <c r="N45" t="s">
        <v>828</v>
      </c>
      <c r="O45" s="1">
        <f t="shared" si="4"/>
        <v>44</v>
      </c>
    </row>
    <row r="46" spans="1:15" x14ac:dyDescent="0.35">
      <c r="A46" s="42" t="s">
        <v>266</v>
      </c>
      <c r="B46" s="48">
        <v>45</v>
      </c>
      <c r="C46" t="e" cm="1">
        <f t="array" aca="1" ref="C46:F46" ca="1">_xlfn.TEXTSPLIT(A46," ")</f>
        <v>#NAME?</v>
      </c>
      <c r="D46" t="e">
        <f ca="1"/>
        <v>#NAME?</v>
      </c>
      <c r="E46" t="e">
        <f ca="1"/>
        <v>#NAME?</v>
      </c>
      <c r="F46" t="e">
        <f ca="1"/>
        <v>#NAME?</v>
      </c>
      <c r="I46" s="1">
        <f t="shared" ca="1" si="0"/>
        <v>4</v>
      </c>
      <c r="J46" s="1">
        <f t="shared" ca="1" si="5"/>
        <v>1</v>
      </c>
      <c r="K46" t="e">
        <f t="shared" ca="1" si="1"/>
        <v>#NAME?</v>
      </c>
      <c r="L46" t="e">
        <f t="shared" ca="1" si="2"/>
        <v>#NAME?</v>
      </c>
      <c r="M46">
        <f t="shared" ca="1" si="3"/>
        <v>0</v>
      </c>
      <c r="N46" t="s">
        <v>829</v>
      </c>
      <c r="O46" s="1">
        <f t="shared" si="4"/>
        <v>45</v>
      </c>
    </row>
    <row r="47" spans="1:15" x14ac:dyDescent="0.35">
      <c r="A47" s="44" t="s">
        <v>267</v>
      </c>
      <c r="B47" s="48">
        <v>46</v>
      </c>
      <c r="C47" t="e" cm="1">
        <f t="array" aca="1" ref="C47:F47" ca="1">_xlfn.TEXTSPLIT(A47," ")</f>
        <v>#NAME?</v>
      </c>
      <c r="D47" t="e">
        <f ca="1"/>
        <v>#NAME?</v>
      </c>
      <c r="E47" t="e">
        <f ca="1"/>
        <v>#NAME?</v>
      </c>
      <c r="F47" t="e">
        <f ca="1"/>
        <v>#NAME?</v>
      </c>
      <c r="I47" s="1">
        <f t="shared" ca="1" si="0"/>
        <v>4</v>
      </c>
      <c r="J47" s="1">
        <f t="shared" ca="1" si="5"/>
        <v>1</v>
      </c>
      <c r="K47" t="e">
        <f t="shared" ca="1" si="1"/>
        <v>#NAME?</v>
      </c>
      <c r="L47" t="e">
        <f t="shared" ca="1" si="2"/>
        <v>#NAME?</v>
      </c>
      <c r="M47">
        <f t="shared" ca="1" si="3"/>
        <v>0</v>
      </c>
      <c r="N47" t="s">
        <v>830</v>
      </c>
      <c r="O47" s="1">
        <f t="shared" si="4"/>
        <v>46</v>
      </c>
    </row>
    <row r="48" spans="1:15" x14ac:dyDescent="0.35">
      <c r="A48" s="42" t="s">
        <v>268</v>
      </c>
      <c r="B48" s="48">
        <v>47</v>
      </c>
      <c r="C48" t="e" cm="1">
        <f t="array" aca="1" ref="C48:F48" ca="1">_xlfn.TEXTSPLIT(A48," ")</f>
        <v>#NAME?</v>
      </c>
      <c r="D48" t="e">
        <f ca="1"/>
        <v>#NAME?</v>
      </c>
      <c r="E48" t="e">
        <f ca="1"/>
        <v>#NAME?</v>
      </c>
      <c r="F48" t="e">
        <f ca="1"/>
        <v>#NAME?</v>
      </c>
      <c r="I48" s="1">
        <f t="shared" ca="1" si="0"/>
        <v>4</v>
      </c>
      <c r="J48" s="1">
        <f t="shared" ca="1" si="5"/>
        <v>1</v>
      </c>
      <c r="K48" t="e">
        <f t="shared" ca="1" si="1"/>
        <v>#NAME?</v>
      </c>
      <c r="L48" t="e">
        <f t="shared" ca="1" si="2"/>
        <v>#NAME?</v>
      </c>
      <c r="M48">
        <f t="shared" ca="1" si="3"/>
        <v>0</v>
      </c>
      <c r="N48" t="s">
        <v>831</v>
      </c>
      <c r="O48" s="1">
        <f t="shared" si="4"/>
        <v>47</v>
      </c>
    </row>
    <row r="49" spans="1:15" x14ac:dyDescent="0.35">
      <c r="A49" s="44" t="s">
        <v>269</v>
      </c>
      <c r="B49" s="48">
        <v>48</v>
      </c>
      <c r="C49" t="e" cm="1">
        <f t="array" aca="1" ref="C49:F49" ca="1">_xlfn.TEXTSPLIT(A49," ")</f>
        <v>#NAME?</v>
      </c>
      <c r="D49" t="e">
        <f ca="1"/>
        <v>#NAME?</v>
      </c>
      <c r="E49" t="e">
        <f ca="1"/>
        <v>#NAME?</v>
      </c>
      <c r="F49" t="e">
        <f ca="1"/>
        <v>#NAME?</v>
      </c>
      <c r="I49" s="1">
        <f t="shared" ca="1" si="0"/>
        <v>4</v>
      </c>
      <c r="J49" s="1">
        <f t="shared" ca="1" si="5"/>
        <v>1</v>
      </c>
      <c r="K49" t="e">
        <f t="shared" ca="1" si="1"/>
        <v>#NAME?</v>
      </c>
      <c r="L49" t="e">
        <f t="shared" ca="1" si="2"/>
        <v>#NAME?</v>
      </c>
      <c r="M49">
        <f t="shared" ca="1" si="3"/>
        <v>0</v>
      </c>
      <c r="N49" t="s">
        <v>832</v>
      </c>
      <c r="O49" s="1">
        <f t="shared" si="4"/>
        <v>48</v>
      </c>
    </row>
    <row r="50" spans="1:15" x14ac:dyDescent="0.35">
      <c r="A50" s="42" t="s">
        <v>270</v>
      </c>
      <c r="B50" s="48">
        <v>49</v>
      </c>
      <c r="C50" t="s">
        <v>619</v>
      </c>
      <c r="D50" t="s">
        <v>612</v>
      </c>
      <c r="E50" t="s">
        <v>620</v>
      </c>
      <c r="F50" t="s">
        <v>621</v>
      </c>
      <c r="I50" s="1">
        <f t="shared" si="0"/>
        <v>4</v>
      </c>
      <c r="J50" s="1">
        <f t="shared" si="5"/>
        <v>1</v>
      </c>
      <c r="K50" t="str">
        <f t="shared" si="1"/>
        <v>elisa</v>
      </c>
      <c r="L50" t="str">
        <f t="shared" si="2"/>
        <v>loncón</v>
      </c>
      <c r="M50">
        <f t="shared" ca="1" si="3"/>
        <v>0</v>
      </c>
      <c r="N50" t="s">
        <v>833</v>
      </c>
      <c r="O50" s="1">
        <f t="shared" si="4"/>
        <v>49</v>
      </c>
    </row>
    <row r="51" spans="1:15" x14ac:dyDescent="0.35">
      <c r="A51" s="44" t="s">
        <v>271</v>
      </c>
      <c r="B51" s="48">
        <v>50</v>
      </c>
      <c r="C51" t="e" cm="1">
        <f t="array" aca="1" ref="C51:F51" ca="1">_xlfn.TEXTSPLIT(A51," ")</f>
        <v>#NAME?</v>
      </c>
      <c r="D51" t="e">
        <f ca="1"/>
        <v>#NAME?</v>
      </c>
      <c r="E51" t="e">
        <f ca="1"/>
        <v>#NAME?</v>
      </c>
      <c r="F51" t="e">
        <f ca="1"/>
        <v>#NAME?</v>
      </c>
      <c r="I51" s="1">
        <f t="shared" ca="1" si="0"/>
        <v>4</v>
      </c>
      <c r="J51" s="1">
        <f t="shared" ca="1" si="5"/>
        <v>1</v>
      </c>
      <c r="K51" t="e">
        <f t="shared" ca="1" si="1"/>
        <v>#NAME?</v>
      </c>
      <c r="L51" t="e">
        <f t="shared" ca="1" si="2"/>
        <v>#NAME?</v>
      </c>
      <c r="M51">
        <f t="shared" ca="1" si="3"/>
        <v>0</v>
      </c>
      <c r="N51" t="s">
        <v>834</v>
      </c>
      <c r="O51" s="1">
        <f t="shared" si="4"/>
        <v>50</v>
      </c>
    </row>
    <row r="52" spans="1:15" x14ac:dyDescent="0.35">
      <c r="A52" s="42" t="s">
        <v>272</v>
      </c>
      <c r="B52" s="48">
        <v>51</v>
      </c>
      <c r="C52" t="e" cm="1">
        <f t="array" aca="1" ref="C52:F52" ca="1">_xlfn.TEXTSPLIT(A52," ")</f>
        <v>#NAME?</v>
      </c>
      <c r="D52" t="e">
        <f ca="1"/>
        <v>#NAME?</v>
      </c>
      <c r="E52" t="e">
        <f ca="1"/>
        <v>#NAME?</v>
      </c>
      <c r="F52" t="e">
        <f ca="1"/>
        <v>#NAME?</v>
      </c>
      <c r="I52" s="1">
        <f t="shared" ca="1" si="0"/>
        <v>4</v>
      </c>
      <c r="J52" s="1">
        <f t="shared" ca="1" si="5"/>
        <v>1</v>
      </c>
      <c r="K52" t="e">
        <f t="shared" ca="1" si="1"/>
        <v>#NAME?</v>
      </c>
      <c r="L52" t="e">
        <f t="shared" ca="1" si="2"/>
        <v>#NAME?</v>
      </c>
      <c r="M52">
        <f t="shared" ca="1" si="3"/>
        <v>0</v>
      </c>
      <c r="N52" t="s">
        <v>835</v>
      </c>
      <c r="O52" s="1">
        <f t="shared" si="4"/>
        <v>51</v>
      </c>
    </row>
    <row r="53" spans="1:15" x14ac:dyDescent="0.35">
      <c r="A53" s="44" t="s">
        <v>273</v>
      </c>
      <c r="B53" s="48">
        <v>52</v>
      </c>
      <c r="C53" t="e" cm="1">
        <f t="array" aca="1" ref="C53:F53" ca="1">_xlfn.TEXTSPLIT(A53," ")</f>
        <v>#NAME?</v>
      </c>
      <c r="D53" t="e">
        <f ca="1"/>
        <v>#NAME?</v>
      </c>
      <c r="E53" t="e">
        <f ca="1"/>
        <v>#NAME?</v>
      </c>
      <c r="F53" t="e">
        <f ca="1"/>
        <v>#NAME?</v>
      </c>
      <c r="I53" s="1">
        <f t="shared" ca="1" si="0"/>
        <v>4</v>
      </c>
      <c r="J53" s="1">
        <f t="shared" ca="1" si="5"/>
        <v>1</v>
      </c>
      <c r="K53" t="e">
        <f t="shared" ca="1" si="1"/>
        <v>#NAME?</v>
      </c>
      <c r="L53" t="e">
        <f t="shared" ca="1" si="2"/>
        <v>#NAME?</v>
      </c>
      <c r="M53">
        <f t="shared" ca="1" si="3"/>
        <v>0</v>
      </c>
      <c r="N53" t="s">
        <v>836</v>
      </c>
      <c r="O53" s="1">
        <f t="shared" si="4"/>
        <v>52</v>
      </c>
    </row>
    <row r="54" spans="1:15" x14ac:dyDescent="0.35">
      <c r="A54" s="42" t="s">
        <v>274</v>
      </c>
      <c r="B54" s="48">
        <v>53</v>
      </c>
      <c r="C54" t="s">
        <v>683</v>
      </c>
      <c r="D54" t="s">
        <v>684</v>
      </c>
      <c r="E54" t="s">
        <v>684</v>
      </c>
      <c r="F54" t="s">
        <v>685</v>
      </c>
      <c r="I54" s="1">
        <f t="shared" si="0"/>
        <v>4</v>
      </c>
      <c r="J54" s="1">
        <f t="shared" si="5"/>
        <v>1</v>
      </c>
      <c r="K54" t="str">
        <f t="shared" si="1"/>
        <v>felipe</v>
      </c>
      <c r="L54" t="str">
        <f t="shared" si="2"/>
        <v>harboe</v>
      </c>
      <c r="M54">
        <f t="shared" ca="1" si="3"/>
        <v>0</v>
      </c>
      <c r="N54" t="s">
        <v>837</v>
      </c>
      <c r="O54" s="1">
        <f t="shared" si="4"/>
        <v>53</v>
      </c>
    </row>
    <row r="55" spans="1:15" x14ac:dyDescent="0.35">
      <c r="A55" s="44" t="s">
        <v>275</v>
      </c>
      <c r="B55" s="48">
        <v>54</v>
      </c>
      <c r="C55" t="e" cm="1">
        <f t="array" aca="1" ref="C55:F55" ca="1">_xlfn.TEXTSPLIT(A55," ")</f>
        <v>#NAME?</v>
      </c>
      <c r="D55" t="e">
        <f ca="1"/>
        <v>#NAME?</v>
      </c>
      <c r="E55" t="e">
        <f ca="1"/>
        <v>#NAME?</v>
      </c>
      <c r="F55" t="e">
        <f ca="1"/>
        <v>#NAME?</v>
      </c>
      <c r="I55" s="1">
        <f t="shared" ca="1" si="0"/>
        <v>4</v>
      </c>
      <c r="J55" s="1">
        <f t="shared" ca="1" si="5"/>
        <v>1</v>
      </c>
      <c r="K55" t="e">
        <f t="shared" ca="1" si="1"/>
        <v>#NAME?</v>
      </c>
      <c r="L55" t="e">
        <f t="shared" ca="1" si="2"/>
        <v>#NAME?</v>
      </c>
      <c r="M55">
        <f t="shared" ca="1" si="3"/>
        <v>0</v>
      </c>
      <c r="N55" t="s">
        <v>838</v>
      </c>
      <c r="O55" s="1">
        <f t="shared" si="4"/>
        <v>54</v>
      </c>
    </row>
    <row r="56" spans="1:15" x14ac:dyDescent="0.35">
      <c r="A56" s="42" t="s">
        <v>276</v>
      </c>
      <c r="B56" s="48">
        <v>55</v>
      </c>
      <c r="C56" t="e" cm="1">
        <f t="array" aca="1" ref="C56:F56" ca="1">_xlfn.TEXTSPLIT(A56," ")</f>
        <v>#NAME?</v>
      </c>
      <c r="D56" t="e">
        <f ca="1"/>
        <v>#NAME?</v>
      </c>
      <c r="E56" t="e">
        <f ca="1"/>
        <v>#NAME?</v>
      </c>
      <c r="F56" t="e">
        <f ca="1"/>
        <v>#NAME?</v>
      </c>
      <c r="I56" s="1">
        <f t="shared" ca="1" si="0"/>
        <v>4</v>
      </c>
      <c r="J56" s="1">
        <f t="shared" ca="1" si="5"/>
        <v>1</v>
      </c>
      <c r="K56" t="e">
        <f t="shared" ca="1" si="1"/>
        <v>#NAME?</v>
      </c>
      <c r="L56" t="e">
        <f t="shared" ca="1" si="2"/>
        <v>#NAME?</v>
      </c>
      <c r="M56">
        <f t="shared" ca="1" si="3"/>
        <v>0</v>
      </c>
      <c r="N56" t="s">
        <v>839</v>
      </c>
      <c r="O56" s="1">
        <f t="shared" si="4"/>
        <v>55</v>
      </c>
    </row>
    <row r="57" spans="1:15" x14ac:dyDescent="0.35">
      <c r="A57" s="44" t="s">
        <v>277</v>
      </c>
      <c r="B57" s="48">
        <v>56</v>
      </c>
      <c r="C57" t="s">
        <v>622</v>
      </c>
      <c r="D57" t="s">
        <v>686</v>
      </c>
      <c r="E57" t="s">
        <v>686</v>
      </c>
      <c r="F57" t="s">
        <v>687</v>
      </c>
      <c r="I57" s="1">
        <f t="shared" si="0"/>
        <v>4</v>
      </c>
      <c r="J57" s="1">
        <f t="shared" si="5"/>
        <v>1</v>
      </c>
      <c r="K57" t="str">
        <f t="shared" si="1"/>
        <v>fernando</v>
      </c>
      <c r="L57" t="str">
        <f t="shared" si="2"/>
        <v>atria</v>
      </c>
      <c r="M57">
        <f t="shared" ca="1" si="3"/>
        <v>0</v>
      </c>
      <c r="N57" t="s">
        <v>840</v>
      </c>
      <c r="O57" s="1">
        <f t="shared" si="4"/>
        <v>56</v>
      </c>
    </row>
    <row r="58" spans="1:15" x14ac:dyDescent="0.35">
      <c r="A58" s="42" t="s">
        <v>278</v>
      </c>
      <c r="B58" s="48">
        <v>57</v>
      </c>
      <c r="C58" t="e" cm="1">
        <f t="array" aca="1" ref="C58:F58" ca="1">_xlfn.TEXTSPLIT(A58," ")</f>
        <v>#NAME?</v>
      </c>
      <c r="D58" t="e">
        <f ca="1"/>
        <v>#NAME?</v>
      </c>
      <c r="E58" t="e">
        <f ca="1"/>
        <v>#NAME?</v>
      </c>
      <c r="F58" t="e">
        <f ca="1"/>
        <v>#NAME?</v>
      </c>
      <c r="I58" s="1">
        <f t="shared" ca="1" si="0"/>
        <v>4</v>
      </c>
      <c r="J58" s="1">
        <f t="shared" ca="1" si="5"/>
        <v>1</v>
      </c>
      <c r="K58" t="e">
        <f t="shared" ca="1" si="1"/>
        <v>#NAME?</v>
      </c>
      <c r="L58" t="e">
        <f t="shared" ca="1" si="2"/>
        <v>#NAME?</v>
      </c>
      <c r="M58">
        <f t="shared" ca="1" si="3"/>
        <v>0</v>
      </c>
      <c r="N58" t="s">
        <v>841</v>
      </c>
      <c r="O58" s="1">
        <f t="shared" si="4"/>
        <v>57</v>
      </c>
    </row>
    <row r="59" spans="1:15" x14ac:dyDescent="0.35">
      <c r="A59" s="44" t="s">
        <v>279</v>
      </c>
      <c r="B59" s="48">
        <v>58</v>
      </c>
      <c r="C59" t="s">
        <v>622</v>
      </c>
      <c r="D59" t="s">
        <v>625</v>
      </c>
      <c r="E59" t="s">
        <v>623</v>
      </c>
      <c r="F59" t="s">
        <v>624</v>
      </c>
      <c r="I59" s="1">
        <f t="shared" si="0"/>
        <v>4</v>
      </c>
      <c r="J59" s="1">
        <f t="shared" si="5"/>
        <v>1</v>
      </c>
      <c r="K59" t="str">
        <f t="shared" si="1"/>
        <v>fernando</v>
      </c>
      <c r="L59" t="str">
        <f t="shared" si="2"/>
        <v>tirado</v>
      </c>
      <c r="M59">
        <f t="shared" ca="1" si="3"/>
        <v>0</v>
      </c>
      <c r="N59" t="s">
        <v>842</v>
      </c>
      <c r="O59" s="1">
        <f t="shared" si="4"/>
        <v>58</v>
      </c>
    </row>
    <row r="60" spans="1:15" x14ac:dyDescent="0.35">
      <c r="A60" s="42" t="s">
        <v>280</v>
      </c>
      <c r="B60" s="48">
        <v>59</v>
      </c>
      <c r="C60" t="s">
        <v>688</v>
      </c>
      <c r="D60" t="s">
        <v>689</v>
      </c>
      <c r="E60" t="s">
        <v>689</v>
      </c>
      <c r="F60" t="s">
        <v>690</v>
      </c>
      <c r="I60" s="1">
        <f t="shared" si="0"/>
        <v>4</v>
      </c>
      <c r="J60" s="1">
        <f t="shared" si="5"/>
        <v>1</v>
      </c>
      <c r="K60" t="str">
        <f t="shared" si="1"/>
        <v>francisca</v>
      </c>
      <c r="L60" t="str">
        <f t="shared" si="2"/>
        <v>linconao</v>
      </c>
      <c r="M60">
        <f t="shared" ca="1" si="3"/>
        <v>0</v>
      </c>
      <c r="N60" t="s">
        <v>843</v>
      </c>
      <c r="O60" s="1">
        <f t="shared" si="4"/>
        <v>59</v>
      </c>
    </row>
    <row r="61" spans="1:15" x14ac:dyDescent="0.35">
      <c r="A61" s="44" t="s">
        <v>281</v>
      </c>
      <c r="B61" s="48">
        <v>60</v>
      </c>
      <c r="C61" t="e" cm="1">
        <f t="array" aca="1" ref="C61:F61" ca="1">_xlfn.TEXTSPLIT(A61," ")</f>
        <v>#NAME?</v>
      </c>
      <c r="D61" t="e">
        <f ca="1"/>
        <v>#NAME?</v>
      </c>
      <c r="E61" t="e">
        <f ca="1"/>
        <v>#NAME?</v>
      </c>
      <c r="F61" t="e">
        <f ca="1"/>
        <v>#NAME?</v>
      </c>
      <c r="I61" s="1">
        <f t="shared" ca="1" si="0"/>
        <v>4</v>
      </c>
      <c r="J61" s="1">
        <f t="shared" ca="1" si="5"/>
        <v>1</v>
      </c>
      <c r="K61" t="e">
        <f t="shared" ca="1" si="1"/>
        <v>#NAME?</v>
      </c>
      <c r="L61" t="e">
        <f t="shared" ca="1" si="2"/>
        <v>#NAME?</v>
      </c>
      <c r="M61">
        <f t="shared" ca="1" si="3"/>
        <v>0</v>
      </c>
      <c r="N61" t="s">
        <v>844</v>
      </c>
      <c r="O61" s="1">
        <f t="shared" si="4"/>
        <v>60</v>
      </c>
    </row>
    <row r="62" spans="1:15" x14ac:dyDescent="0.35">
      <c r="A62" s="42" t="s">
        <v>282</v>
      </c>
      <c r="B62" s="48">
        <v>61</v>
      </c>
      <c r="C62" t="e" cm="1">
        <f t="array" aca="1" ref="C62:F62" ca="1">_xlfn.TEXTSPLIT(A62," ")</f>
        <v>#NAME?</v>
      </c>
      <c r="D62" t="e">
        <f ca="1"/>
        <v>#NAME?</v>
      </c>
      <c r="E62" t="e">
        <f ca="1"/>
        <v>#NAME?</v>
      </c>
      <c r="F62" t="e">
        <f ca="1"/>
        <v>#NAME?</v>
      </c>
      <c r="I62" s="1">
        <f t="shared" ca="1" si="0"/>
        <v>4</v>
      </c>
      <c r="J62" s="1">
        <f t="shared" ca="1" si="5"/>
        <v>1</v>
      </c>
      <c r="K62" t="e">
        <f t="shared" ca="1" si="1"/>
        <v>#NAME?</v>
      </c>
      <c r="L62" t="e">
        <f t="shared" ca="1" si="2"/>
        <v>#NAME?</v>
      </c>
      <c r="M62">
        <f t="shared" ca="1" si="3"/>
        <v>0</v>
      </c>
      <c r="N62" t="s">
        <v>845</v>
      </c>
      <c r="O62" s="1">
        <f t="shared" si="4"/>
        <v>61</v>
      </c>
    </row>
    <row r="63" spans="1:15" x14ac:dyDescent="0.35">
      <c r="A63" s="44" t="s">
        <v>283</v>
      </c>
      <c r="B63" s="48">
        <v>62</v>
      </c>
      <c r="C63" t="e" cm="1">
        <f t="array" aca="1" ref="C63:F63" ca="1">_xlfn.TEXTSPLIT(A63," ")</f>
        <v>#NAME?</v>
      </c>
      <c r="D63" t="e">
        <f ca="1"/>
        <v>#NAME?</v>
      </c>
      <c r="E63" t="e">
        <f ca="1"/>
        <v>#NAME?</v>
      </c>
      <c r="F63" t="e">
        <f ca="1"/>
        <v>#NAME?</v>
      </c>
      <c r="I63" s="1">
        <f t="shared" ca="1" si="0"/>
        <v>4</v>
      </c>
      <c r="J63" s="1">
        <f t="shared" ca="1" si="5"/>
        <v>1</v>
      </c>
      <c r="K63" t="e">
        <f t="shared" ca="1" si="1"/>
        <v>#NAME?</v>
      </c>
      <c r="L63" t="e">
        <f t="shared" ca="1" si="2"/>
        <v>#NAME?</v>
      </c>
      <c r="M63">
        <f t="shared" ca="1" si="3"/>
        <v>0</v>
      </c>
      <c r="N63" t="s">
        <v>846</v>
      </c>
      <c r="O63" s="1">
        <f t="shared" si="4"/>
        <v>62</v>
      </c>
    </row>
    <row r="64" spans="1:15" x14ac:dyDescent="0.35">
      <c r="A64" s="42" t="s">
        <v>284</v>
      </c>
      <c r="B64" s="48">
        <v>63</v>
      </c>
      <c r="C64" t="e" cm="1">
        <f t="array" aca="1" ref="C64:F64" ca="1">_xlfn.TEXTSPLIT(A64," ")</f>
        <v>#NAME?</v>
      </c>
      <c r="D64" t="e">
        <f ca="1"/>
        <v>#NAME?</v>
      </c>
      <c r="E64" t="e">
        <f ca="1"/>
        <v>#NAME?</v>
      </c>
      <c r="F64" t="e">
        <f ca="1"/>
        <v>#NAME?</v>
      </c>
      <c r="I64" s="1">
        <f t="shared" ca="1" si="0"/>
        <v>4</v>
      </c>
      <c r="J64" s="1">
        <f t="shared" ca="1" si="5"/>
        <v>1</v>
      </c>
      <c r="K64" t="e">
        <f t="shared" ca="1" si="1"/>
        <v>#NAME?</v>
      </c>
      <c r="L64" t="e">
        <f t="shared" ca="1" si="2"/>
        <v>#NAME?</v>
      </c>
      <c r="M64">
        <f t="shared" ca="1" si="3"/>
        <v>0</v>
      </c>
      <c r="N64" t="s">
        <v>847</v>
      </c>
      <c r="O64" s="1">
        <f t="shared" si="4"/>
        <v>63</v>
      </c>
    </row>
    <row r="65" spans="1:15" x14ac:dyDescent="0.35">
      <c r="A65" s="44" t="s">
        <v>285</v>
      </c>
      <c r="B65" s="48">
        <v>64</v>
      </c>
      <c r="C65" t="e" cm="1">
        <f t="array" aca="1" ref="C65:F65" ca="1">_xlfn.TEXTSPLIT(A65," ")</f>
        <v>#NAME?</v>
      </c>
      <c r="D65" t="e">
        <f ca="1"/>
        <v>#NAME?</v>
      </c>
      <c r="E65" t="e">
        <f ca="1"/>
        <v>#NAME?</v>
      </c>
      <c r="F65" t="e">
        <f ca="1"/>
        <v>#NAME?</v>
      </c>
      <c r="I65" s="1">
        <f t="shared" ca="1" si="0"/>
        <v>4</v>
      </c>
      <c r="J65" s="1">
        <f t="shared" ca="1" si="5"/>
        <v>1</v>
      </c>
      <c r="K65" t="e">
        <f t="shared" ca="1" si="1"/>
        <v>#NAME?</v>
      </c>
      <c r="L65" t="e">
        <f t="shared" ca="1" si="2"/>
        <v>#NAME?</v>
      </c>
      <c r="M65">
        <f t="shared" ca="1" si="3"/>
        <v>0</v>
      </c>
      <c r="N65" t="s">
        <v>848</v>
      </c>
      <c r="O65" s="1">
        <f t="shared" si="4"/>
        <v>64</v>
      </c>
    </row>
    <row r="66" spans="1:15" x14ac:dyDescent="0.35">
      <c r="A66" s="42" t="s">
        <v>286</v>
      </c>
      <c r="B66" s="48">
        <v>65</v>
      </c>
      <c r="C66" t="e" cm="1">
        <f t="array" aca="1" ref="C66:F66" ca="1">_xlfn.TEXTSPLIT(A66," ")</f>
        <v>#NAME?</v>
      </c>
      <c r="D66" t="e">
        <f ca="1"/>
        <v>#NAME?</v>
      </c>
      <c r="E66" t="e">
        <f ca="1"/>
        <v>#NAME?</v>
      </c>
      <c r="F66" t="e">
        <f ca="1"/>
        <v>#NAME?</v>
      </c>
      <c r="I66" s="1">
        <f t="shared" ca="1" si="0"/>
        <v>4</v>
      </c>
      <c r="J66" s="1">
        <f t="shared" ca="1" si="5"/>
        <v>1</v>
      </c>
      <c r="K66" t="e">
        <f t="shared" ca="1" si="1"/>
        <v>#NAME?</v>
      </c>
      <c r="L66" t="e">
        <f t="shared" ca="1" si="2"/>
        <v>#NAME?</v>
      </c>
      <c r="M66">
        <f t="shared" ca="1" si="3"/>
        <v>0</v>
      </c>
      <c r="N66" t="s">
        <v>849</v>
      </c>
      <c r="O66" s="1">
        <f t="shared" si="4"/>
        <v>65</v>
      </c>
    </row>
    <row r="67" spans="1:15" x14ac:dyDescent="0.35">
      <c r="A67" s="44" t="s">
        <v>287</v>
      </c>
      <c r="B67" s="48">
        <v>66</v>
      </c>
      <c r="C67" t="e" cm="1">
        <f t="array" aca="1" ref="C67:F67" ca="1">_xlfn.TEXTSPLIT(A67," ")</f>
        <v>#NAME?</v>
      </c>
      <c r="D67" t="e">
        <f ca="1"/>
        <v>#NAME?</v>
      </c>
      <c r="E67" t="e">
        <f ca="1"/>
        <v>#NAME?</v>
      </c>
      <c r="F67" t="e">
        <f ca="1"/>
        <v>#NAME?</v>
      </c>
      <c r="I67" s="1">
        <f t="shared" ref="I67:I130" ca="1" si="6">COUNTA(C67:H67)</f>
        <v>4</v>
      </c>
      <c r="J67" s="1">
        <f t="shared" ca="1" si="5"/>
        <v>1</v>
      </c>
      <c r="K67" t="e">
        <f t="shared" ref="K67:K130" ca="1" si="7">LOWER(TRIM(C67))</f>
        <v>#NAME?</v>
      </c>
      <c r="L67" t="e">
        <f t="shared" ref="L67:L130" ca="1" si="8">LOWER(TRIM(E67))</f>
        <v>#NAME?</v>
      </c>
      <c r="M67">
        <f t="shared" ref="M67:M130" ca="1" si="9">IFERROR(IF(J67=1,_xlfn.CONCAT(L67,", ",K67)),0)</f>
        <v>0</v>
      </c>
      <c r="N67" t="s">
        <v>850</v>
      </c>
      <c r="O67" s="1">
        <f t="shared" ref="O67:O130" si="10">B67</f>
        <v>66</v>
      </c>
    </row>
    <row r="68" spans="1:15" x14ac:dyDescent="0.35">
      <c r="A68" s="42" t="s">
        <v>288</v>
      </c>
      <c r="B68" s="48">
        <v>67</v>
      </c>
      <c r="C68" t="s">
        <v>626</v>
      </c>
      <c r="D68" t="s">
        <v>629</v>
      </c>
      <c r="E68" t="s">
        <v>627</v>
      </c>
      <c r="F68" t="s">
        <v>628</v>
      </c>
      <c r="I68" s="1">
        <f t="shared" si="6"/>
        <v>4</v>
      </c>
      <c r="J68" s="1">
        <f t="shared" si="5"/>
        <v>1</v>
      </c>
      <c r="K68" t="str">
        <f t="shared" si="7"/>
        <v>gloria</v>
      </c>
      <c r="L68" t="str">
        <f t="shared" si="8"/>
        <v>alvarado</v>
      </c>
      <c r="M68">
        <f t="shared" ca="1" si="9"/>
        <v>0</v>
      </c>
      <c r="N68" t="s">
        <v>851</v>
      </c>
      <c r="O68" s="1">
        <f t="shared" si="10"/>
        <v>67</v>
      </c>
    </row>
    <row r="69" spans="1:15" x14ac:dyDescent="0.35">
      <c r="A69" s="44" t="s">
        <v>289</v>
      </c>
      <c r="B69" s="48">
        <v>68</v>
      </c>
      <c r="C69" t="e" cm="1">
        <f t="array" aca="1" ref="C69:F69" ca="1">_xlfn.TEXTSPLIT(A69," ")</f>
        <v>#NAME?</v>
      </c>
      <c r="D69" t="e">
        <f ca="1"/>
        <v>#NAME?</v>
      </c>
      <c r="E69" t="e">
        <f ca="1"/>
        <v>#NAME?</v>
      </c>
      <c r="F69" t="e">
        <f ca="1"/>
        <v>#NAME?</v>
      </c>
      <c r="I69" s="1">
        <f t="shared" ca="1" si="6"/>
        <v>4</v>
      </c>
      <c r="J69" s="1">
        <f t="shared" ref="J69:J132" ca="1" si="11">IF(I69&lt;5,1,0)</f>
        <v>1</v>
      </c>
      <c r="K69" t="e">
        <f t="shared" ca="1" si="7"/>
        <v>#NAME?</v>
      </c>
      <c r="L69" t="e">
        <f t="shared" ca="1" si="8"/>
        <v>#NAME?</v>
      </c>
      <c r="M69">
        <f t="shared" ca="1" si="9"/>
        <v>0</v>
      </c>
      <c r="N69" t="s">
        <v>852</v>
      </c>
      <c r="O69" s="1">
        <f t="shared" si="10"/>
        <v>68</v>
      </c>
    </row>
    <row r="70" spans="1:15" x14ac:dyDescent="0.35">
      <c r="A70" s="42" t="s">
        <v>290</v>
      </c>
      <c r="B70" s="48">
        <v>69</v>
      </c>
      <c r="C70" t="e" cm="1">
        <f t="array" aca="1" ref="C70:F70" ca="1">_xlfn.TEXTSPLIT(A70," ")</f>
        <v>#NAME?</v>
      </c>
      <c r="D70" t="e">
        <f ca="1"/>
        <v>#NAME?</v>
      </c>
      <c r="E70" t="e">
        <f ca="1"/>
        <v>#NAME?</v>
      </c>
      <c r="F70" t="e">
        <f ca="1"/>
        <v>#NAME?</v>
      </c>
      <c r="I70" s="1">
        <f t="shared" ca="1" si="6"/>
        <v>4</v>
      </c>
      <c r="J70" s="1">
        <f t="shared" ca="1" si="11"/>
        <v>1</v>
      </c>
      <c r="K70" t="e">
        <f t="shared" ca="1" si="7"/>
        <v>#NAME?</v>
      </c>
      <c r="L70" t="e">
        <f t="shared" ca="1" si="8"/>
        <v>#NAME?</v>
      </c>
      <c r="M70">
        <f t="shared" ca="1" si="9"/>
        <v>0</v>
      </c>
      <c r="N70" t="s">
        <v>853</v>
      </c>
      <c r="O70" s="1">
        <f t="shared" si="10"/>
        <v>69</v>
      </c>
    </row>
    <row r="71" spans="1:15" x14ac:dyDescent="0.35">
      <c r="A71" s="44" t="s">
        <v>291</v>
      </c>
      <c r="B71" s="48">
        <v>70</v>
      </c>
      <c r="C71" t="e" cm="1">
        <f t="array" aca="1" ref="C71:F71" ca="1">_xlfn.TEXTSPLIT(A71," ")</f>
        <v>#NAME?</v>
      </c>
      <c r="D71" t="e">
        <f ca="1"/>
        <v>#NAME?</v>
      </c>
      <c r="E71" t="e">
        <f ca="1"/>
        <v>#NAME?</v>
      </c>
      <c r="F71" t="e">
        <f ca="1"/>
        <v>#NAME?</v>
      </c>
      <c r="I71" s="1">
        <f t="shared" ca="1" si="6"/>
        <v>4</v>
      </c>
      <c r="J71" s="1">
        <f t="shared" ca="1" si="11"/>
        <v>1</v>
      </c>
      <c r="K71" t="e">
        <f t="shared" ca="1" si="7"/>
        <v>#NAME?</v>
      </c>
      <c r="L71" t="e">
        <f t="shared" ca="1" si="8"/>
        <v>#NAME?</v>
      </c>
      <c r="M71">
        <f t="shared" ca="1" si="9"/>
        <v>0</v>
      </c>
      <c r="N71" t="s">
        <v>854</v>
      </c>
      <c r="O71" s="1">
        <f t="shared" si="10"/>
        <v>70</v>
      </c>
    </row>
    <row r="72" spans="1:15" x14ac:dyDescent="0.35">
      <c r="A72" s="42" t="s">
        <v>292</v>
      </c>
      <c r="B72" s="48">
        <v>71</v>
      </c>
      <c r="C72" t="e" cm="1">
        <f t="array" aca="1" ref="C72:F72" ca="1">_xlfn.TEXTSPLIT(A72," ")</f>
        <v>#NAME?</v>
      </c>
      <c r="D72" t="e">
        <f ca="1"/>
        <v>#NAME?</v>
      </c>
      <c r="E72" t="e">
        <f ca="1"/>
        <v>#NAME?</v>
      </c>
      <c r="F72" t="e">
        <f ca="1"/>
        <v>#NAME?</v>
      </c>
      <c r="I72" s="1">
        <f t="shared" ca="1" si="6"/>
        <v>4</v>
      </c>
      <c r="J72" s="1">
        <f t="shared" ca="1" si="11"/>
        <v>1</v>
      </c>
      <c r="K72" t="e">
        <f t="shared" ca="1" si="7"/>
        <v>#NAME?</v>
      </c>
      <c r="L72" t="e">
        <f t="shared" ca="1" si="8"/>
        <v>#NAME?</v>
      </c>
      <c r="M72">
        <f t="shared" ca="1" si="9"/>
        <v>0</v>
      </c>
      <c r="N72" t="s">
        <v>855</v>
      </c>
      <c r="O72" s="1">
        <f t="shared" si="10"/>
        <v>71</v>
      </c>
    </row>
    <row r="73" spans="1:15" x14ac:dyDescent="0.35">
      <c r="A73" s="44" t="s">
        <v>293</v>
      </c>
      <c r="B73" s="48">
        <v>72</v>
      </c>
      <c r="C73" t="s">
        <v>691</v>
      </c>
      <c r="D73" t="s">
        <v>692</v>
      </c>
      <c r="E73" t="s">
        <v>692</v>
      </c>
      <c r="F73" t="s">
        <v>693</v>
      </c>
      <c r="I73" s="1">
        <f t="shared" si="6"/>
        <v>4</v>
      </c>
      <c r="J73" s="1">
        <f t="shared" si="11"/>
        <v>1</v>
      </c>
      <c r="K73" t="str">
        <f t="shared" si="7"/>
        <v>hernán</v>
      </c>
      <c r="L73" t="str">
        <f t="shared" si="8"/>
        <v>larraín</v>
      </c>
      <c r="M73">
        <f t="shared" ca="1" si="9"/>
        <v>0</v>
      </c>
      <c r="N73" t="s">
        <v>856</v>
      </c>
      <c r="O73" s="1">
        <f t="shared" si="10"/>
        <v>72</v>
      </c>
    </row>
    <row r="74" spans="1:15" x14ac:dyDescent="0.35">
      <c r="A74" s="42" t="s">
        <v>294</v>
      </c>
      <c r="B74" s="48">
        <v>73</v>
      </c>
      <c r="C74" t="e" cm="1">
        <f t="array" aca="1" ref="C74:F74" ca="1">_xlfn.TEXTSPLIT(A74," ")</f>
        <v>#NAME?</v>
      </c>
      <c r="D74" t="e">
        <f ca="1"/>
        <v>#NAME?</v>
      </c>
      <c r="E74" t="e">
        <f ca="1"/>
        <v>#NAME?</v>
      </c>
      <c r="F74" t="e">
        <f ca="1"/>
        <v>#NAME?</v>
      </c>
      <c r="I74" s="1">
        <f t="shared" ca="1" si="6"/>
        <v>4</v>
      </c>
      <c r="J74" s="1">
        <f t="shared" ca="1" si="11"/>
        <v>1</v>
      </c>
      <c r="K74" t="e">
        <f t="shared" ca="1" si="7"/>
        <v>#NAME?</v>
      </c>
      <c r="L74" t="e">
        <f t="shared" ca="1" si="8"/>
        <v>#NAME?</v>
      </c>
      <c r="M74">
        <f t="shared" ca="1" si="9"/>
        <v>0</v>
      </c>
      <c r="N74" t="s">
        <v>857</v>
      </c>
      <c r="O74" s="1">
        <f t="shared" si="10"/>
        <v>73</v>
      </c>
    </row>
    <row r="75" spans="1:15" x14ac:dyDescent="0.35">
      <c r="A75" s="44" t="s">
        <v>295</v>
      </c>
      <c r="B75" s="48">
        <v>74</v>
      </c>
      <c r="C75" t="e" cm="1">
        <f t="array" aca="1" ref="C75:F75" ca="1">_xlfn.TEXTSPLIT(A75," ")</f>
        <v>#NAME?</v>
      </c>
      <c r="D75" t="e">
        <f ca="1"/>
        <v>#NAME?</v>
      </c>
      <c r="E75" t="e">
        <f ca="1"/>
        <v>#NAME?</v>
      </c>
      <c r="F75" t="e">
        <f ca="1"/>
        <v>#NAME?</v>
      </c>
      <c r="I75" s="1">
        <f t="shared" ca="1" si="6"/>
        <v>4</v>
      </c>
      <c r="J75" s="1">
        <f t="shared" ca="1" si="11"/>
        <v>1</v>
      </c>
      <c r="K75" t="e">
        <f t="shared" ca="1" si="7"/>
        <v>#NAME?</v>
      </c>
      <c r="L75" t="e">
        <f t="shared" ca="1" si="8"/>
        <v>#NAME?</v>
      </c>
      <c r="M75">
        <f t="shared" ca="1" si="9"/>
        <v>0</v>
      </c>
      <c r="N75" t="s">
        <v>858</v>
      </c>
      <c r="O75" s="1">
        <f t="shared" si="10"/>
        <v>74</v>
      </c>
    </row>
    <row r="76" spans="1:15" x14ac:dyDescent="0.35">
      <c r="A76" s="42" t="s">
        <v>296</v>
      </c>
      <c r="B76" s="48">
        <v>75</v>
      </c>
      <c r="C76" t="e" cm="1">
        <f t="array" aca="1" ref="C76:F76" ca="1">_xlfn.TEXTSPLIT(A76," ")</f>
        <v>#NAME?</v>
      </c>
      <c r="D76" t="e">
        <f ca="1"/>
        <v>#NAME?</v>
      </c>
      <c r="E76" t="e">
        <f ca="1"/>
        <v>#NAME?</v>
      </c>
      <c r="F76" t="e">
        <f ca="1"/>
        <v>#NAME?</v>
      </c>
      <c r="I76" s="1">
        <f t="shared" ca="1" si="6"/>
        <v>4</v>
      </c>
      <c r="J76" s="1">
        <f t="shared" ca="1" si="11"/>
        <v>1</v>
      </c>
      <c r="K76" t="e">
        <f t="shared" ca="1" si="7"/>
        <v>#NAME?</v>
      </c>
      <c r="L76" t="e">
        <f t="shared" ca="1" si="8"/>
        <v>#NAME?</v>
      </c>
      <c r="M76">
        <f t="shared" ca="1" si="9"/>
        <v>0</v>
      </c>
      <c r="N76" t="s">
        <v>859</v>
      </c>
      <c r="O76" s="1">
        <f t="shared" si="10"/>
        <v>75</v>
      </c>
    </row>
    <row r="77" spans="1:15" x14ac:dyDescent="0.35">
      <c r="A77" s="44" t="s">
        <v>297</v>
      </c>
      <c r="B77" s="48">
        <v>76</v>
      </c>
      <c r="C77" t="e" cm="1">
        <f t="array" aca="1" ref="C77:F77" ca="1">_xlfn.TEXTSPLIT(A77," ")</f>
        <v>#NAME?</v>
      </c>
      <c r="D77" t="e">
        <f ca="1"/>
        <v>#NAME?</v>
      </c>
      <c r="E77" t="e">
        <f ca="1"/>
        <v>#NAME?</v>
      </c>
      <c r="F77" t="e">
        <f ca="1"/>
        <v>#NAME?</v>
      </c>
      <c r="I77" s="1">
        <f t="shared" ca="1" si="6"/>
        <v>4</v>
      </c>
      <c r="J77" s="1">
        <f t="shared" ca="1" si="11"/>
        <v>1</v>
      </c>
      <c r="K77" t="e">
        <f t="shared" ca="1" si="7"/>
        <v>#NAME?</v>
      </c>
      <c r="L77" t="e">
        <f t="shared" ca="1" si="8"/>
        <v>#NAME?</v>
      </c>
      <c r="M77">
        <f t="shared" ca="1" si="9"/>
        <v>0</v>
      </c>
      <c r="N77" t="s">
        <v>860</v>
      </c>
      <c r="O77" s="1">
        <f t="shared" si="10"/>
        <v>76</v>
      </c>
    </row>
    <row r="78" spans="1:15" x14ac:dyDescent="0.35">
      <c r="A78" s="42" t="s">
        <v>298</v>
      </c>
      <c r="B78" s="48">
        <v>77</v>
      </c>
      <c r="C78" t="e" cm="1">
        <f t="array" aca="1" ref="C78:F78" ca="1">_xlfn.TEXTSPLIT(A78," ")</f>
        <v>#NAME?</v>
      </c>
      <c r="D78" t="e">
        <f ca="1"/>
        <v>#NAME?</v>
      </c>
      <c r="E78" t="e">
        <f ca="1"/>
        <v>#NAME?</v>
      </c>
      <c r="F78" t="e">
        <f ca="1"/>
        <v>#NAME?</v>
      </c>
      <c r="I78" s="1">
        <f t="shared" ca="1" si="6"/>
        <v>4</v>
      </c>
      <c r="J78" s="1">
        <f t="shared" ca="1" si="11"/>
        <v>1</v>
      </c>
      <c r="K78" t="e">
        <f t="shared" ca="1" si="7"/>
        <v>#NAME?</v>
      </c>
      <c r="L78" t="e">
        <f t="shared" ca="1" si="8"/>
        <v>#NAME?</v>
      </c>
      <c r="M78">
        <f t="shared" ca="1" si="9"/>
        <v>0</v>
      </c>
      <c r="N78" t="s">
        <v>861</v>
      </c>
      <c r="O78" s="1">
        <f t="shared" si="10"/>
        <v>77</v>
      </c>
    </row>
    <row r="79" spans="1:15" x14ac:dyDescent="0.35">
      <c r="A79" s="44" t="s">
        <v>299</v>
      </c>
      <c r="B79" s="48">
        <v>78</v>
      </c>
      <c r="C79" t="e" cm="1">
        <f t="array" aca="1" ref="C79:F79" ca="1">_xlfn.TEXTSPLIT(A79," ")</f>
        <v>#NAME?</v>
      </c>
      <c r="D79" t="e">
        <f ca="1"/>
        <v>#NAME?</v>
      </c>
      <c r="E79" t="e">
        <f ca="1"/>
        <v>#NAME?</v>
      </c>
      <c r="F79" t="e">
        <f ca="1"/>
        <v>#NAME?</v>
      </c>
      <c r="I79" s="1">
        <f t="shared" ca="1" si="6"/>
        <v>4</v>
      </c>
      <c r="J79" s="1">
        <f t="shared" ca="1" si="11"/>
        <v>1</v>
      </c>
      <c r="K79" t="e">
        <f t="shared" ca="1" si="7"/>
        <v>#NAME?</v>
      </c>
      <c r="L79" t="e">
        <f t="shared" ca="1" si="8"/>
        <v>#NAME?</v>
      </c>
      <c r="M79">
        <f t="shared" ca="1" si="9"/>
        <v>0</v>
      </c>
      <c r="N79" t="s">
        <v>862</v>
      </c>
      <c r="O79" s="1">
        <f t="shared" si="10"/>
        <v>78</v>
      </c>
    </row>
    <row r="80" spans="1:15" x14ac:dyDescent="0.35">
      <c r="A80" s="42" t="s">
        <v>300</v>
      </c>
      <c r="B80" s="48">
        <v>79</v>
      </c>
      <c r="C80" t="e" cm="1">
        <f t="array" aca="1" ref="C80:F80" ca="1">_xlfn.TEXTSPLIT(A80," ")</f>
        <v>#NAME?</v>
      </c>
      <c r="D80" t="e">
        <f ca="1"/>
        <v>#NAME?</v>
      </c>
      <c r="E80" t="e">
        <f ca="1"/>
        <v>#NAME?</v>
      </c>
      <c r="F80" t="e">
        <f ca="1"/>
        <v>#NAME?</v>
      </c>
      <c r="I80" s="1">
        <f t="shared" ca="1" si="6"/>
        <v>4</v>
      </c>
      <c r="J80" s="1">
        <f t="shared" ca="1" si="11"/>
        <v>1</v>
      </c>
      <c r="K80" t="e">
        <f t="shared" ca="1" si="7"/>
        <v>#NAME?</v>
      </c>
      <c r="L80" t="e">
        <f t="shared" ca="1" si="8"/>
        <v>#NAME?</v>
      </c>
      <c r="M80">
        <f t="shared" ca="1" si="9"/>
        <v>0</v>
      </c>
      <c r="N80" t="s">
        <v>863</v>
      </c>
      <c r="O80" s="1">
        <f t="shared" si="10"/>
        <v>79</v>
      </c>
    </row>
    <row r="81" spans="1:15" x14ac:dyDescent="0.35">
      <c r="A81" s="44" t="s">
        <v>301</v>
      </c>
      <c r="B81" s="48">
        <v>80</v>
      </c>
      <c r="C81" t="s">
        <v>630</v>
      </c>
      <c r="D81" t="s">
        <v>632</v>
      </c>
      <c r="E81" t="s">
        <v>602</v>
      </c>
      <c r="F81" t="s">
        <v>631</v>
      </c>
      <c r="I81" s="1">
        <f t="shared" si="6"/>
        <v>4</v>
      </c>
      <c r="J81" s="1">
        <f t="shared" si="11"/>
        <v>1</v>
      </c>
      <c r="K81" t="str">
        <f t="shared" si="7"/>
        <v>janis</v>
      </c>
      <c r="L81" t="str">
        <f t="shared" si="8"/>
        <v>meneses</v>
      </c>
      <c r="M81">
        <f t="shared" ca="1" si="9"/>
        <v>0</v>
      </c>
      <c r="N81" t="s">
        <v>864</v>
      </c>
      <c r="O81" s="1">
        <f t="shared" si="10"/>
        <v>80</v>
      </c>
    </row>
    <row r="82" spans="1:15" x14ac:dyDescent="0.35">
      <c r="A82" s="42" t="s">
        <v>302</v>
      </c>
      <c r="B82" s="48">
        <v>81</v>
      </c>
      <c r="C82" t="e" cm="1">
        <f t="array" aca="1" ref="C82:F82" ca="1">_xlfn.TEXTSPLIT(A82," ")</f>
        <v>#NAME?</v>
      </c>
      <c r="D82" t="e">
        <f ca="1"/>
        <v>#NAME?</v>
      </c>
      <c r="E82" t="e">
        <f ca="1"/>
        <v>#NAME?</v>
      </c>
      <c r="F82" t="e">
        <f ca="1"/>
        <v>#NAME?</v>
      </c>
      <c r="I82" s="1">
        <f t="shared" ca="1" si="6"/>
        <v>4</v>
      </c>
      <c r="J82" s="1">
        <f t="shared" ca="1" si="11"/>
        <v>1</v>
      </c>
      <c r="K82" t="e">
        <f t="shared" ca="1" si="7"/>
        <v>#NAME?</v>
      </c>
      <c r="L82" t="e">
        <f t="shared" ca="1" si="8"/>
        <v>#NAME?</v>
      </c>
      <c r="M82">
        <f t="shared" ca="1" si="9"/>
        <v>0</v>
      </c>
      <c r="N82" t="s">
        <v>865</v>
      </c>
      <c r="O82" s="1">
        <f t="shared" si="10"/>
        <v>81</v>
      </c>
    </row>
    <row r="83" spans="1:15" x14ac:dyDescent="0.35">
      <c r="A83" s="44" t="s">
        <v>303</v>
      </c>
      <c r="B83" s="48">
        <v>82</v>
      </c>
      <c r="C83" t="e" cm="1">
        <f t="array" aca="1" ref="C83:F83" ca="1">_xlfn.TEXTSPLIT(A83," ")</f>
        <v>#NAME?</v>
      </c>
      <c r="D83" t="e">
        <f ca="1"/>
        <v>#NAME?</v>
      </c>
      <c r="E83" t="e">
        <f ca="1"/>
        <v>#NAME?</v>
      </c>
      <c r="F83" t="e">
        <f ca="1"/>
        <v>#NAME?</v>
      </c>
      <c r="I83" s="1">
        <f t="shared" ca="1" si="6"/>
        <v>4</v>
      </c>
      <c r="J83" s="1">
        <f t="shared" ca="1" si="11"/>
        <v>1</v>
      </c>
      <c r="K83" t="e">
        <f t="shared" ca="1" si="7"/>
        <v>#NAME?</v>
      </c>
      <c r="L83" t="e">
        <f t="shared" ca="1" si="8"/>
        <v>#NAME?</v>
      </c>
      <c r="M83">
        <f t="shared" ca="1" si="9"/>
        <v>0</v>
      </c>
      <c r="N83" t="s">
        <v>866</v>
      </c>
      <c r="O83" s="1">
        <f t="shared" si="10"/>
        <v>82</v>
      </c>
    </row>
    <row r="84" spans="1:15" x14ac:dyDescent="0.35">
      <c r="A84" s="42" t="s">
        <v>304</v>
      </c>
      <c r="B84" s="48">
        <v>83</v>
      </c>
      <c r="C84" t="e" cm="1">
        <f t="array" aca="1" ref="C84:F84" ca="1">_xlfn.TEXTSPLIT(A84," ")</f>
        <v>#NAME?</v>
      </c>
      <c r="D84" t="e">
        <f ca="1"/>
        <v>#NAME?</v>
      </c>
      <c r="E84" t="e">
        <f ca="1"/>
        <v>#NAME?</v>
      </c>
      <c r="F84" t="e">
        <f ca="1"/>
        <v>#NAME?</v>
      </c>
      <c r="I84" s="1">
        <f t="shared" ca="1" si="6"/>
        <v>4</v>
      </c>
      <c r="J84" s="1">
        <f t="shared" ca="1" si="11"/>
        <v>1</v>
      </c>
      <c r="K84" t="e">
        <f t="shared" ca="1" si="7"/>
        <v>#NAME?</v>
      </c>
      <c r="L84" t="e">
        <f t="shared" ca="1" si="8"/>
        <v>#NAME?</v>
      </c>
      <c r="M84">
        <f t="shared" ca="1" si="9"/>
        <v>0</v>
      </c>
      <c r="N84" t="s">
        <v>867</v>
      </c>
      <c r="O84" s="1">
        <f t="shared" si="10"/>
        <v>83</v>
      </c>
    </row>
    <row r="85" spans="1:15" x14ac:dyDescent="0.35">
      <c r="A85" s="44" t="s">
        <v>305</v>
      </c>
      <c r="B85" s="48">
        <v>84</v>
      </c>
      <c r="C85" t="e" cm="1">
        <f t="array" aca="1" ref="C85:F85" ca="1">_xlfn.TEXTSPLIT(A85," ")</f>
        <v>#NAME?</v>
      </c>
      <c r="D85" t="e">
        <f ca="1"/>
        <v>#NAME?</v>
      </c>
      <c r="E85" t="e">
        <f ca="1"/>
        <v>#NAME?</v>
      </c>
      <c r="F85" t="e">
        <f ca="1"/>
        <v>#NAME?</v>
      </c>
      <c r="I85" s="1">
        <f t="shared" ca="1" si="6"/>
        <v>4</v>
      </c>
      <c r="J85" s="1">
        <f t="shared" ca="1" si="11"/>
        <v>1</v>
      </c>
      <c r="K85" t="e">
        <f t="shared" ca="1" si="7"/>
        <v>#NAME?</v>
      </c>
      <c r="L85" t="e">
        <f t="shared" ca="1" si="8"/>
        <v>#NAME?</v>
      </c>
      <c r="M85">
        <f t="shared" ca="1" si="9"/>
        <v>0</v>
      </c>
      <c r="N85" t="s">
        <v>868</v>
      </c>
      <c r="O85" s="1">
        <f t="shared" si="10"/>
        <v>84</v>
      </c>
    </row>
    <row r="86" spans="1:15" x14ac:dyDescent="0.35">
      <c r="A86" s="42" t="s">
        <v>572</v>
      </c>
      <c r="B86" s="48">
        <v>85</v>
      </c>
      <c r="C86" t="e" cm="1">
        <f t="array" aca="1" ref="C86:F86" ca="1">_xlfn.TEXTSPLIT(A86," ")</f>
        <v>#NAME?</v>
      </c>
      <c r="D86" t="e">
        <f ca="1"/>
        <v>#NAME?</v>
      </c>
      <c r="E86" t="e">
        <f ca="1"/>
        <v>#NAME?</v>
      </c>
      <c r="F86" t="e">
        <f ca="1"/>
        <v>#NAME?</v>
      </c>
      <c r="I86" s="1">
        <f t="shared" ca="1" si="6"/>
        <v>4</v>
      </c>
      <c r="J86" s="1">
        <f t="shared" ca="1" si="11"/>
        <v>1</v>
      </c>
      <c r="K86" t="e">
        <f t="shared" ca="1" si="7"/>
        <v>#NAME?</v>
      </c>
      <c r="L86" t="e">
        <f t="shared" ca="1" si="8"/>
        <v>#NAME?</v>
      </c>
      <c r="M86">
        <f t="shared" ca="1" si="9"/>
        <v>0</v>
      </c>
      <c r="N86" t="s">
        <v>869</v>
      </c>
      <c r="O86" s="1">
        <f t="shared" si="10"/>
        <v>85</v>
      </c>
    </row>
    <row r="87" spans="1:15" x14ac:dyDescent="0.35">
      <c r="A87" s="44" t="s">
        <v>306</v>
      </c>
      <c r="B87" s="48">
        <v>86</v>
      </c>
      <c r="C87" t="s">
        <v>636</v>
      </c>
      <c r="D87" t="s">
        <v>633</v>
      </c>
      <c r="E87" t="s">
        <v>634</v>
      </c>
      <c r="F87" t="s">
        <v>635</v>
      </c>
      <c r="I87" s="1">
        <f t="shared" si="6"/>
        <v>4</v>
      </c>
      <c r="J87" s="1">
        <f t="shared" si="11"/>
        <v>1</v>
      </c>
      <c r="K87" t="str">
        <f t="shared" si="7"/>
        <v>juan josé</v>
      </c>
      <c r="L87" t="str">
        <f t="shared" si="8"/>
        <v>martin</v>
      </c>
      <c r="M87">
        <f t="shared" ca="1" si="9"/>
        <v>0</v>
      </c>
      <c r="N87" t="s">
        <v>870</v>
      </c>
      <c r="O87" s="1">
        <f t="shared" si="10"/>
        <v>86</v>
      </c>
    </row>
    <row r="88" spans="1:15" x14ac:dyDescent="0.35">
      <c r="A88" s="42" t="s">
        <v>307</v>
      </c>
      <c r="B88" s="48">
        <v>87</v>
      </c>
      <c r="C88" t="s">
        <v>637</v>
      </c>
      <c r="D88" t="s">
        <v>638</v>
      </c>
      <c r="E88" t="s">
        <v>640</v>
      </c>
      <c r="F88" t="s">
        <v>641</v>
      </c>
      <c r="I88" s="1">
        <f t="shared" si="6"/>
        <v>4</v>
      </c>
      <c r="J88" s="1">
        <f t="shared" si="11"/>
        <v>1</v>
      </c>
      <c r="K88" t="str">
        <f t="shared" si="7"/>
        <v>julio</v>
      </c>
      <c r="L88" t="str">
        <f t="shared" si="8"/>
        <v>alvarez</v>
      </c>
      <c r="M88">
        <f t="shared" ca="1" si="9"/>
        <v>0</v>
      </c>
      <c r="N88" t="s">
        <v>871</v>
      </c>
      <c r="O88" s="1">
        <f t="shared" si="10"/>
        <v>87</v>
      </c>
    </row>
    <row r="89" spans="1:15" x14ac:dyDescent="0.35">
      <c r="A89" s="44" t="s">
        <v>308</v>
      </c>
      <c r="B89" s="48">
        <v>88</v>
      </c>
      <c r="C89" t="e" cm="1">
        <f t="array" aca="1" ref="C89:F89" ca="1">_xlfn.TEXTSPLIT(A89," ")</f>
        <v>#NAME?</v>
      </c>
      <c r="D89" t="e">
        <f ca="1"/>
        <v>#NAME?</v>
      </c>
      <c r="E89" t="e">
        <f ca="1"/>
        <v>#NAME?</v>
      </c>
      <c r="F89" t="e">
        <f ca="1"/>
        <v>#NAME?</v>
      </c>
      <c r="I89" s="1">
        <f t="shared" ca="1" si="6"/>
        <v>4</v>
      </c>
      <c r="J89" s="1">
        <f t="shared" ca="1" si="11"/>
        <v>1</v>
      </c>
      <c r="K89" t="e">
        <f t="shared" ca="1" si="7"/>
        <v>#NAME?</v>
      </c>
      <c r="L89" t="e">
        <f t="shared" ca="1" si="8"/>
        <v>#NAME?</v>
      </c>
      <c r="M89">
        <f t="shared" ca="1" si="9"/>
        <v>0</v>
      </c>
      <c r="N89" t="s">
        <v>872</v>
      </c>
      <c r="O89" s="1">
        <f t="shared" si="10"/>
        <v>88</v>
      </c>
    </row>
    <row r="90" spans="1:15" x14ac:dyDescent="0.35">
      <c r="A90" s="42" t="s">
        <v>309</v>
      </c>
      <c r="B90" s="48">
        <v>89</v>
      </c>
      <c r="C90" t="e" cm="1">
        <f t="array" aca="1" ref="C90:F90" ca="1">_xlfn.TEXTSPLIT(A90," ")</f>
        <v>#NAME?</v>
      </c>
      <c r="D90" t="e">
        <f ca="1"/>
        <v>#NAME?</v>
      </c>
      <c r="E90" t="e">
        <f ca="1"/>
        <v>#NAME?</v>
      </c>
      <c r="F90" t="e">
        <f ca="1"/>
        <v>#NAME?</v>
      </c>
      <c r="I90" s="1">
        <f t="shared" ca="1" si="6"/>
        <v>4</v>
      </c>
      <c r="J90" s="1">
        <f t="shared" ca="1" si="11"/>
        <v>1</v>
      </c>
      <c r="K90" t="e">
        <f t="shared" ca="1" si="7"/>
        <v>#NAME?</v>
      </c>
      <c r="L90" t="e">
        <f t="shared" ca="1" si="8"/>
        <v>#NAME?</v>
      </c>
      <c r="M90">
        <f t="shared" ca="1" si="9"/>
        <v>0</v>
      </c>
      <c r="N90" t="s">
        <v>873</v>
      </c>
      <c r="O90" s="1">
        <f t="shared" si="10"/>
        <v>89</v>
      </c>
    </row>
    <row r="91" spans="1:15" x14ac:dyDescent="0.35">
      <c r="A91" s="44" t="s">
        <v>310</v>
      </c>
      <c r="B91" s="48">
        <v>90</v>
      </c>
      <c r="C91" t="e" cm="1">
        <f t="array" aca="1" ref="C91:F91" ca="1">_xlfn.TEXTSPLIT(A91," ")</f>
        <v>#NAME?</v>
      </c>
      <c r="D91" t="e">
        <f ca="1"/>
        <v>#NAME?</v>
      </c>
      <c r="E91" t="e">
        <f ca="1"/>
        <v>#NAME?</v>
      </c>
      <c r="F91" t="e">
        <f ca="1"/>
        <v>#NAME?</v>
      </c>
      <c r="I91" s="1">
        <f t="shared" ca="1" si="6"/>
        <v>4</v>
      </c>
      <c r="J91" s="1">
        <f t="shared" ca="1" si="11"/>
        <v>1</v>
      </c>
      <c r="K91" t="e">
        <f t="shared" ca="1" si="7"/>
        <v>#NAME?</v>
      </c>
      <c r="L91" t="e">
        <f t="shared" ca="1" si="8"/>
        <v>#NAME?</v>
      </c>
      <c r="M91">
        <f t="shared" ca="1" si="9"/>
        <v>0</v>
      </c>
      <c r="N91" t="s">
        <v>874</v>
      </c>
      <c r="O91" s="1">
        <f t="shared" si="10"/>
        <v>90</v>
      </c>
    </row>
    <row r="92" spans="1:15" x14ac:dyDescent="0.35">
      <c r="A92" s="42" t="s">
        <v>311</v>
      </c>
      <c r="B92" s="48">
        <v>91</v>
      </c>
      <c r="C92" t="s">
        <v>642</v>
      </c>
      <c r="D92" t="s">
        <v>645</v>
      </c>
      <c r="E92" t="s">
        <v>643</v>
      </c>
      <c r="F92" t="s">
        <v>644</v>
      </c>
      <c r="I92" s="1">
        <f t="shared" si="6"/>
        <v>4</v>
      </c>
      <c r="J92" s="1">
        <f t="shared" si="11"/>
        <v>1</v>
      </c>
      <c r="K92" t="str">
        <f t="shared" si="7"/>
        <v>lorena</v>
      </c>
      <c r="L92" t="str">
        <f t="shared" si="8"/>
        <v>cespedes</v>
      </c>
      <c r="M92">
        <f t="shared" ca="1" si="9"/>
        <v>0</v>
      </c>
      <c r="N92" t="s">
        <v>875</v>
      </c>
      <c r="O92" s="1">
        <f t="shared" si="10"/>
        <v>91</v>
      </c>
    </row>
    <row r="93" spans="1:15" x14ac:dyDescent="0.35">
      <c r="A93" s="44" t="s">
        <v>312</v>
      </c>
      <c r="B93" s="48">
        <v>92</v>
      </c>
      <c r="C93" t="e" cm="1">
        <f t="array" aca="1" ref="C93:F93" ca="1">_xlfn.TEXTSPLIT(A93," ")</f>
        <v>#NAME?</v>
      </c>
      <c r="D93" t="e">
        <f ca="1"/>
        <v>#NAME?</v>
      </c>
      <c r="E93" t="e">
        <f ca="1"/>
        <v>#NAME?</v>
      </c>
      <c r="F93" t="e">
        <f ca="1"/>
        <v>#NAME?</v>
      </c>
      <c r="I93" s="1">
        <f t="shared" ca="1" si="6"/>
        <v>4</v>
      </c>
      <c r="J93" s="1">
        <f t="shared" ca="1" si="11"/>
        <v>1</v>
      </c>
      <c r="K93" t="e">
        <f t="shared" ca="1" si="7"/>
        <v>#NAME?</v>
      </c>
      <c r="L93" t="e">
        <f t="shared" ca="1" si="8"/>
        <v>#NAME?</v>
      </c>
      <c r="M93">
        <f t="shared" ca="1" si="9"/>
        <v>0</v>
      </c>
      <c r="N93" t="s">
        <v>876</v>
      </c>
      <c r="O93" s="1">
        <f t="shared" si="10"/>
        <v>92</v>
      </c>
    </row>
    <row r="94" spans="1:15" x14ac:dyDescent="0.35">
      <c r="A94" s="42" t="s">
        <v>313</v>
      </c>
      <c r="B94" s="48">
        <v>93</v>
      </c>
      <c r="C94" t="e" cm="1">
        <f t="array" aca="1" ref="C94:F94" ca="1">_xlfn.TEXTSPLIT(A94," ")</f>
        <v>#NAME?</v>
      </c>
      <c r="D94" t="e">
        <f ca="1"/>
        <v>#NAME?</v>
      </c>
      <c r="E94" t="e">
        <f ca="1"/>
        <v>#NAME?</v>
      </c>
      <c r="F94" t="e">
        <f ca="1"/>
        <v>#NAME?</v>
      </c>
      <c r="I94" s="1">
        <f t="shared" ca="1" si="6"/>
        <v>4</v>
      </c>
      <c r="J94" s="1">
        <f t="shared" ca="1" si="11"/>
        <v>1</v>
      </c>
      <c r="K94" t="e">
        <f t="shared" ca="1" si="7"/>
        <v>#NAME?</v>
      </c>
      <c r="L94" t="e">
        <f t="shared" ca="1" si="8"/>
        <v>#NAME?</v>
      </c>
      <c r="M94">
        <f t="shared" ca="1" si="9"/>
        <v>0</v>
      </c>
      <c r="N94" t="s">
        <v>877</v>
      </c>
      <c r="O94" s="1">
        <f t="shared" si="10"/>
        <v>93</v>
      </c>
    </row>
    <row r="95" spans="1:15" x14ac:dyDescent="0.35">
      <c r="A95" s="44" t="s">
        <v>314</v>
      </c>
      <c r="B95" s="48">
        <v>94</v>
      </c>
      <c r="C95" t="e" cm="1">
        <f t="array" aca="1" ref="C95:F95" ca="1">_xlfn.TEXTSPLIT(A95," ")</f>
        <v>#NAME?</v>
      </c>
      <c r="D95" t="e">
        <f ca="1"/>
        <v>#NAME?</v>
      </c>
      <c r="E95" t="e">
        <f ca="1"/>
        <v>#NAME?</v>
      </c>
      <c r="F95" t="e">
        <f ca="1"/>
        <v>#NAME?</v>
      </c>
      <c r="I95" s="1">
        <f t="shared" ca="1" si="6"/>
        <v>4</v>
      </c>
      <c r="J95" s="1">
        <f t="shared" ca="1" si="11"/>
        <v>1</v>
      </c>
      <c r="K95" t="e">
        <f t="shared" ca="1" si="7"/>
        <v>#NAME?</v>
      </c>
      <c r="L95" t="e">
        <f t="shared" ca="1" si="8"/>
        <v>#NAME?</v>
      </c>
      <c r="M95">
        <f t="shared" ca="1" si="9"/>
        <v>0</v>
      </c>
      <c r="N95" t="s">
        <v>878</v>
      </c>
      <c r="O95" s="1">
        <f t="shared" si="10"/>
        <v>94</v>
      </c>
    </row>
    <row r="96" spans="1:15" x14ac:dyDescent="0.35">
      <c r="A96" s="42" t="s">
        <v>315</v>
      </c>
      <c r="B96" s="48">
        <v>95</v>
      </c>
      <c r="C96" t="s">
        <v>639</v>
      </c>
      <c r="D96" t="s">
        <v>646</v>
      </c>
      <c r="E96" t="s">
        <v>647</v>
      </c>
      <c r="F96" t="s">
        <v>648</v>
      </c>
      <c r="I96" s="1">
        <f t="shared" si="6"/>
        <v>4</v>
      </c>
      <c r="J96" s="1">
        <f t="shared" si="11"/>
        <v>1</v>
      </c>
      <c r="K96" t="str">
        <f t="shared" si="7"/>
        <v>luis</v>
      </c>
      <c r="L96" t="str">
        <f t="shared" si="8"/>
        <v>mayol</v>
      </c>
      <c r="M96">
        <f t="shared" ca="1" si="9"/>
        <v>0</v>
      </c>
      <c r="N96" t="s">
        <v>879</v>
      </c>
      <c r="O96" s="1">
        <f t="shared" si="10"/>
        <v>95</v>
      </c>
    </row>
    <row r="97" spans="1:15" x14ac:dyDescent="0.35">
      <c r="A97" s="44" t="s">
        <v>316</v>
      </c>
      <c r="B97" s="48">
        <v>96</v>
      </c>
      <c r="C97" t="s">
        <v>696</v>
      </c>
      <c r="D97" t="s">
        <v>595</v>
      </c>
      <c r="E97" t="s">
        <v>694</v>
      </c>
      <c r="F97" t="s">
        <v>695</v>
      </c>
      <c r="I97" s="1">
        <f t="shared" si="6"/>
        <v>4</v>
      </c>
      <c r="J97" s="1">
        <f t="shared" si="11"/>
        <v>1</v>
      </c>
      <c r="K97" t="str">
        <f t="shared" si="7"/>
        <v>luis arturo</v>
      </c>
      <c r="L97" t="str">
        <f t="shared" si="8"/>
        <v>zuñiga</v>
      </c>
      <c r="M97">
        <f t="shared" ca="1" si="9"/>
        <v>0</v>
      </c>
      <c r="N97" t="s">
        <v>880</v>
      </c>
      <c r="O97" s="1">
        <f t="shared" si="10"/>
        <v>96</v>
      </c>
    </row>
    <row r="98" spans="1:15" x14ac:dyDescent="0.35">
      <c r="A98" s="42" t="s">
        <v>317</v>
      </c>
      <c r="B98" s="48">
        <v>97</v>
      </c>
      <c r="C98" t="e" cm="1">
        <f t="array" aca="1" ref="C98:F98" ca="1">_xlfn.TEXTSPLIT(A98," ")</f>
        <v>#NAME?</v>
      </c>
      <c r="D98" t="e">
        <f ca="1"/>
        <v>#NAME?</v>
      </c>
      <c r="E98" t="e">
        <f ca="1"/>
        <v>#NAME?</v>
      </c>
      <c r="F98" t="e">
        <f ca="1"/>
        <v>#NAME?</v>
      </c>
      <c r="I98" s="1">
        <f t="shared" ca="1" si="6"/>
        <v>4</v>
      </c>
      <c r="J98" s="1">
        <f t="shared" ca="1" si="11"/>
        <v>1</v>
      </c>
      <c r="K98" t="e">
        <f t="shared" ca="1" si="7"/>
        <v>#NAME?</v>
      </c>
      <c r="L98" t="e">
        <f t="shared" ca="1" si="8"/>
        <v>#NAME?</v>
      </c>
      <c r="M98">
        <f t="shared" ca="1" si="9"/>
        <v>0</v>
      </c>
      <c r="N98" t="s">
        <v>881</v>
      </c>
      <c r="O98" s="1">
        <f t="shared" si="10"/>
        <v>97</v>
      </c>
    </row>
    <row r="99" spans="1:15" x14ac:dyDescent="0.35">
      <c r="A99" s="44" t="s">
        <v>318</v>
      </c>
      <c r="B99" s="48">
        <v>98</v>
      </c>
      <c r="C99" t="s">
        <v>697</v>
      </c>
      <c r="D99" t="s">
        <v>641</v>
      </c>
      <c r="E99" t="s">
        <v>641</v>
      </c>
      <c r="F99" t="s">
        <v>698</v>
      </c>
      <c r="I99" s="1">
        <f t="shared" si="6"/>
        <v>4</v>
      </c>
      <c r="J99" s="1">
        <f t="shared" si="11"/>
        <v>1</v>
      </c>
      <c r="K99" t="str">
        <f t="shared" si="7"/>
        <v>malucha</v>
      </c>
      <c r="L99" t="str">
        <f t="shared" si="8"/>
        <v>pinto</v>
      </c>
      <c r="M99">
        <f t="shared" ca="1" si="9"/>
        <v>0</v>
      </c>
      <c r="N99" t="s">
        <v>882</v>
      </c>
      <c r="O99" s="1">
        <f t="shared" si="10"/>
        <v>98</v>
      </c>
    </row>
    <row r="100" spans="1:15" x14ac:dyDescent="0.35">
      <c r="A100" s="42" t="s">
        <v>319</v>
      </c>
      <c r="B100" s="48">
        <v>99</v>
      </c>
      <c r="C100" t="e" cm="1">
        <f t="array" aca="1" ref="C100:F100" ca="1">_xlfn.TEXTSPLIT(A100," ")</f>
        <v>#NAME?</v>
      </c>
      <c r="D100" t="e">
        <f ca="1"/>
        <v>#NAME?</v>
      </c>
      <c r="E100" t="e">
        <f ca="1"/>
        <v>#NAME?</v>
      </c>
      <c r="F100" t="e">
        <f ca="1"/>
        <v>#NAME?</v>
      </c>
      <c r="I100" s="1">
        <f t="shared" ca="1" si="6"/>
        <v>4</v>
      </c>
      <c r="J100" s="1">
        <f t="shared" ca="1" si="11"/>
        <v>1</v>
      </c>
      <c r="K100" t="e">
        <f t="shared" ca="1" si="7"/>
        <v>#NAME?</v>
      </c>
      <c r="L100" t="e">
        <f t="shared" ca="1" si="8"/>
        <v>#NAME?</v>
      </c>
      <c r="M100">
        <f t="shared" ca="1" si="9"/>
        <v>0</v>
      </c>
      <c r="N100" t="s">
        <v>883</v>
      </c>
      <c r="O100" s="1">
        <f t="shared" si="10"/>
        <v>99</v>
      </c>
    </row>
    <row r="101" spans="1:15" x14ac:dyDescent="0.35">
      <c r="A101" s="44" t="s">
        <v>320</v>
      </c>
      <c r="B101" s="48">
        <v>100</v>
      </c>
      <c r="C101" t="e" cm="1">
        <f t="array" aca="1" ref="C101:F101" ca="1">_xlfn.TEXTSPLIT(A101," ")</f>
        <v>#NAME?</v>
      </c>
      <c r="D101" t="e">
        <f ca="1"/>
        <v>#NAME?</v>
      </c>
      <c r="E101" t="e">
        <f ca="1"/>
        <v>#NAME?</v>
      </c>
      <c r="F101" t="e">
        <f ca="1"/>
        <v>#NAME?</v>
      </c>
      <c r="I101" s="1">
        <f t="shared" ca="1" si="6"/>
        <v>4</v>
      </c>
      <c r="J101" s="1">
        <f t="shared" ca="1" si="11"/>
        <v>1</v>
      </c>
      <c r="K101" t="e">
        <f t="shared" ca="1" si="7"/>
        <v>#NAME?</v>
      </c>
      <c r="L101" t="e">
        <f t="shared" ca="1" si="8"/>
        <v>#NAME?</v>
      </c>
      <c r="M101">
        <f t="shared" ca="1" si="9"/>
        <v>0</v>
      </c>
      <c r="N101" t="s">
        <v>884</v>
      </c>
      <c r="O101" s="1">
        <f t="shared" si="10"/>
        <v>100</v>
      </c>
    </row>
    <row r="102" spans="1:15" x14ac:dyDescent="0.35">
      <c r="A102" s="42" t="s">
        <v>321</v>
      </c>
      <c r="B102" s="48">
        <v>101</v>
      </c>
      <c r="C102" t="s">
        <v>699</v>
      </c>
      <c r="D102" t="s">
        <v>700</v>
      </c>
      <c r="E102" t="s">
        <v>700</v>
      </c>
      <c r="F102" t="s">
        <v>701</v>
      </c>
      <c r="I102" s="1">
        <f t="shared" si="6"/>
        <v>4</v>
      </c>
      <c r="J102" s="1">
        <f t="shared" si="11"/>
        <v>1</v>
      </c>
      <c r="K102" t="str">
        <f t="shared" si="7"/>
        <v>manuela</v>
      </c>
      <c r="L102" t="str">
        <f t="shared" si="8"/>
        <v>royo</v>
      </c>
      <c r="M102">
        <f t="shared" ca="1" si="9"/>
        <v>0</v>
      </c>
      <c r="N102" t="s">
        <v>885</v>
      </c>
      <c r="O102" s="1">
        <f t="shared" si="10"/>
        <v>101</v>
      </c>
    </row>
    <row r="103" spans="1:15" x14ac:dyDescent="0.35">
      <c r="A103" s="44" t="s">
        <v>322</v>
      </c>
      <c r="B103" s="48">
        <v>102</v>
      </c>
      <c r="C103" t="s">
        <v>702</v>
      </c>
      <c r="D103" t="s">
        <v>703</v>
      </c>
      <c r="E103" t="s">
        <v>703</v>
      </c>
      <c r="F103" t="s">
        <v>704</v>
      </c>
      <c r="I103" s="1">
        <f t="shared" si="6"/>
        <v>4</v>
      </c>
      <c r="J103" s="1">
        <f t="shared" si="11"/>
        <v>1</v>
      </c>
      <c r="K103" t="str">
        <f t="shared" si="7"/>
        <v>marcela</v>
      </c>
      <c r="L103" t="str">
        <f t="shared" si="8"/>
        <v>cubillos</v>
      </c>
      <c r="M103">
        <f t="shared" ca="1" si="9"/>
        <v>0</v>
      </c>
      <c r="N103" t="s">
        <v>886</v>
      </c>
      <c r="O103" s="1">
        <f t="shared" si="10"/>
        <v>102</v>
      </c>
    </row>
    <row r="104" spans="1:15" x14ac:dyDescent="0.35">
      <c r="A104" s="42" t="s">
        <v>323</v>
      </c>
      <c r="B104" s="48">
        <v>103</v>
      </c>
      <c r="C104" t="e" cm="1">
        <f t="array" aca="1" ref="C104:F104" ca="1">_xlfn.TEXTSPLIT(A104," ")</f>
        <v>#NAME?</v>
      </c>
      <c r="D104" t="e">
        <f ca="1"/>
        <v>#NAME?</v>
      </c>
      <c r="E104" t="e">
        <f ca="1"/>
        <v>#NAME?</v>
      </c>
      <c r="F104" t="e">
        <f ca="1"/>
        <v>#NAME?</v>
      </c>
      <c r="I104" s="1">
        <f t="shared" ca="1" si="6"/>
        <v>4</v>
      </c>
      <c r="J104" s="1">
        <f t="shared" ca="1" si="11"/>
        <v>1</v>
      </c>
      <c r="K104" t="e">
        <f t="shared" ca="1" si="7"/>
        <v>#NAME?</v>
      </c>
      <c r="L104" t="e">
        <f t="shared" ca="1" si="8"/>
        <v>#NAME?</v>
      </c>
      <c r="M104">
        <f t="shared" ca="1" si="9"/>
        <v>0</v>
      </c>
      <c r="N104" t="s">
        <v>887</v>
      </c>
      <c r="O104" s="1">
        <f t="shared" si="10"/>
        <v>103</v>
      </c>
    </row>
    <row r="105" spans="1:15" x14ac:dyDescent="0.35">
      <c r="A105" s="44" t="s">
        <v>324</v>
      </c>
      <c r="B105" s="48">
        <v>104</v>
      </c>
      <c r="C105" t="e" cm="1">
        <f t="array" aca="1" ref="C105:F105" ca="1">_xlfn.TEXTSPLIT(A105," ")</f>
        <v>#NAME?</v>
      </c>
      <c r="D105" t="e">
        <f ca="1"/>
        <v>#NAME?</v>
      </c>
      <c r="E105" t="e">
        <f ca="1"/>
        <v>#NAME?</v>
      </c>
      <c r="F105" t="e">
        <f ca="1"/>
        <v>#NAME?</v>
      </c>
      <c r="I105" s="1">
        <f t="shared" ca="1" si="6"/>
        <v>4</v>
      </c>
      <c r="J105" s="1">
        <f t="shared" ca="1" si="11"/>
        <v>1</v>
      </c>
      <c r="K105" t="e">
        <f t="shared" ca="1" si="7"/>
        <v>#NAME?</v>
      </c>
      <c r="L105" t="e">
        <f t="shared" ca="1" si="8"/>
        <v>#NAME?</v>
      </c>
      <c r="M105">
        <f t="shared" ca="1" si="9"/>
        <v>0</v>
      </c>
      <c r="N105" t="s">
        <v>888</v>
      </c>
      <c r="O105" s="1">
        <f t="shared" si="10"/>
        <v>104</v>
      </c>
    </row>
    <row r="106" spans="1:15" x14ac:dyDescent="0.35">
      <c r="A106" s="42" t="s">
        <v>325</v>
      </c>
      <c r="B106" s="48">
        <v>105</v>
      </c>
      <c r="C106" t="e" cm="1">
        <f t="array" aca="1" ref="C106:F106" ca="1">_xlfn.TEXTSPLIT(A106," ")</f>
        <v>#NAME?</v>
      </c>
      <c r="D106" t="e">
        <f ca="1"/>
        <v>#NAME?</v>
      </c>
      <c r="E106" t="e">
        <f ca="1"/>
        <v>#NAME?</v>
      </c>
      <c r="F106" t="e">
        <f ca="1"/>
        <v>#NAME?</v>
      </c>
      <c r="I106" s="1">
        <f t="shared" ca="1" si="6"/>
        <v>4</v>
      </c>
      <c r="J106" s="1">
        <f t="shared" ca="1" si="11"/>
        <v>1</v>
      </c>
      <c r="K106" t="e">
        <f t="shared" ca="1" si="7"/>
        <v>#NAME?</v>
      </c>
      <c r="L106" t="e">
        <f t="shared" ca="1" si="8"/>
        <v>#NAME?</v>
      </c>
      <c r="M106">
        <f t="shared" ca="1" si="9"/>
        <v>0</v>
      </c>
      <c r="N106" t="s">
        <v>889</v>
      </c>
      <c r="O106" s="1">
        <f t="shared" si="10"/>
        <v>105</v>
      </c>
    </row>
    <row r="107" spans="1:15" x14ac:dyDescent="0.35">
      <c r="A107" s="44" t="s">
        <v>326</v>
      </c>
      <c r="B107" s="48">
        <v>106</v>
      </c>
      <c r="C107" t="s">
        <v>707</v>
      </c>
      <c r="E107" t="s">
        <v>705</v>
      </c>
      <c r="F107" t="s">
        <v>706</v>
      </c>
      <c r="I107" s="1">
        <f t="shared" si="6"/>
        <v>3</v>
      </c>
      <c r="J107" s="1">
        <f t="shared" si="11"/>
        <v>1</v>
      </c>
      <c r="K107" t="str">
        <f t="shared" si="7"/>
        <v>maría angélica</v>
      </c>
      <c r="L107" t="str">
        <f t="shared" si="8"/>
        <v>tepper</v>
      </c>
      <c r="M107">
        <f t="shared" ca="1" si="9"/>
        <v>0</v>
      </c>
      <c r="N107" t="s">
        <v>890</v>
      </c>
      <c r="O107" s="1">
        <f t="shared" si="10"/>
        <v>106</v>
      </c>
    </row>
    <row r="108" spans="1:15" x14ac:dyDescent="0.35">
      <c r="A108" s="42" t="s">
        <v>327</v>
      </c>
      <c r="B108" s="48">
        <v>107</v>
      </c>
      <c r="C108" t="s">
        <v>710</v>
      </c>
      <c r="E108" t="s">
        <v>708</v>
      </c>
      <c r="F108" t="s">
        <v>709</v>
      </c>
      <c r="I108" s="1">
        <f t="shared" si="6"/>
        <v>3</v>
      </c>
      <c r="J108" s="1">
        <f t="shared" si="11"/>
        <v>1</v>
      </c>
      <c r="K108" t="str">
        <f t="shared" si="7"/>
        <v>maría cecilia</v>
      </c>
      <c r="L108" t="str">
        <f t="shared" si="8"/>
        <v>ubilla</v>
      </c>
      <c r="M108">
        <f t="shared" ca="1" si="9"/>
        <v>0</v>
      </c>
      <c r="N108" t="s">
        <v>891</v>
      </c>
      <c r="O108" s="1">
        <f t="shared" si="10"/>
        <v>107</v>
      </c>
    </row>
    <row r="109" spans="1:15" x14ac:dyDescent="0.35">
      <c r="A109" s="44" t="s">
        <v>328</v>
      </c>
      <c r="B109" s="48">
        <v>108</v>
      </c>
      <c r="C109" t="s">
        <v>713</v>
      </c>
      <c r="E109" t="s">
        <v>711</v>
      </c>
      <c r="F109" t="s">
        <v>712</v>
      </c>
      <c r="I109" s="1">
        <f t="shared" si="6"/>
        <v>3</v>
      </c>
      <c r="J109" s="1">
        <f t="shared" si="11"/>
        <v>1</v>
      </c>
      <c r="K109" t="str">
        <f t="shared" si="7"/>
        <v>maria elisa</v>
      </c>
      <c r="L109" t="str">
        <f t="shared" si="8"/>
        <v>quinteros</v>
      </c>
      <c r="M109">
        <f t="shared" ca="1" si="9"/>
        <v>0</v>
      </c>
      <c r="N109" t="s">
        <v>892</v>
      </c>
      <c r="O109" s="1">
        <f t="shared" si="10"/>
        <v>108</v>
      </c>
    </row>
    <row r="110" spans="1:15" x14ac:dyDescent="0.35">
      <c r="A110" s="42" t="s">
        <v>329</v>
      </c>
      <c r="B110" s="48">
        <v>109</v>
      </c>
      <c r="C110" t="s">
        <v>716</v>
      </c>
      <c r="E110" t="s">
        <v>714</v>
      </c>
      <c r="F110" t="s">
        <v>715</v>
      </c>
      <c r="I110" s="1">
        <f t="shared" si="6"/>
        <v>3</v>
      </c>
      <c r="J110" s="1">
        <f t="shared" si="11"/>
        <v>1</v>
      </c>
      <c r="K110" t="str">
        <f t="shared" si="7"/>
        <v>maria jose</v>
      </c>
      <c r="L110" t="str">
        <f t="shared" si="8"/>
        <v>oyarzun</v>
      </c>
      <c r="M110">
        <f t="shared" ca="1" si="9"/>
        <v>0</v>
      </c>
      <c r="N110" t="s">
        <v>893</v>
      </c>
      <c r="O110" s="1">
        <f t="shared" si="10"/>
        <v>109</v>
      </c>
    </row>
    <row r="111" spans="1:15" x14ac:dyDescent="0.35">
      <c r="A111" s="44" t="s">
        <v>330</v>
      </c>
      <c r="B111" s="48">
        <v>110</v>
      </c>
      <c r="C111" t="s">
        <v>718</v>
      </c>
      <c r="E111" t="s">
        <v>653</v>
      </c>
      <c r="F111" t="s">
        <v>717</v>
      </c>
      <c r="I111" s="1">
        <f t="shared" si="6"/>
        <v>3</v>
      </c>
      <c r="J111" s="1">
        <f t="shared" si="11"/>
        <v>1</v>
      </c>
      <c r="K111" t="str">
        <f t="shared" si="7"/>
        <v>maria magdalena</v>
      </c>
      <c r="L111" t="str">
        <f t="shared" si="8"/>
        <v>rivera</v>
      </c>
      <c r="M111">
        <f t="shared" ca="1" si="9"/>
        <v>0</v>
      </c>
      <c r="N111" t="s">
        <v>894</v>
      </c>
      <c r="O111" s="1">
        <f t="shared" si="10"/>
        <v>110</v>
      </c>
    </row>
    <row r="112" spans="1:15" x14ac:dyDescent="0.35">
      <c r="A112" s="42" t="s">
        <v>331</v>
      </c>
      <c r="B112" s="48">
        <v>111</v>
      </c>
      <c r="C112" t="s">
        <v>721</v>
      </c>
      <c r="E112" t="s">
        <v>719</v>
      </c>
      <c r="F112" t="s">
        <v>720</v>
      </c>
      <c r="I112" s="1">
        <f t="shared" si="6"/>
        <v>3</v>
      </c>
      <c r="J112" s="1">
        <f t="shared" si="11"/>
        <v>1</v>
      </c>
      <c r="K112" t="str">
        <f t="shared" si="7"/>
        <v>maria ramona</v>
      </c>
      <c r="L112" t="str">
        <f t="shared" si="8"/>
        <v>reyes</v>
      </c>
      <c r="M112">
        <f t="shared" ca="1" si="9"/>
        <v>0</v>
      </c>
      <c r="N112" t="s">
        <v>895</v>
      </c>
      <c r="O112" s="1">
        <f t="shared" si="10"/>
        <v>111</v>
      </c>
    </row>
    <row r="113" spans="1:15" x14ac:dyDescent="0.35">
      <c r="A113" s="44" t="s">
        <v>332</v>
      </c>
      <c r="B113" s="48">
        <v>112</v>
      </c>
      <c r="C113" t="s">
        <v>724</v>
      </c>
      <c r="E113" t="s">
        <v>722</v>
      </c>
      <c r="F113" t="s">
        <v>723</v>
      </c>
      <c r="I113" s="1">
        <f t="shared" si="6"/>
        <v>3</v>
      </c>
      <c r="J113" s="1">
        <f t="shared" si="11"/>
        <v>1</v>
      </c>
      <c r="K113" t="str">
        <f t="shared" si="7"/>
        <v>maria trinidad</v>
      </c>
      <c r="L113" t="str">
        <f t="shared" si="8"/>
        <v>castillo</v>
      </c>
      <c r="M113">
        <f t="shared" ca="1" si="9"/>
        <v>0</v>
      </c>
      <c r="N113" t="s">
        <v>896</v>
      </c>
      <c r="O113" s="1">
        <f t="shared" si="10"/>
        <v>112</v>
      </c>
    </row>
    <row r="114" spans="1:15" x14ac:dyDescent="0.35">
      <c r="A114" s="42" t="s">
        <v>333</v>
      </c>
      <c r="B114" s="48">
        <v>113</v>
      </c>
      <c r="C114" t="e" cm="1">
        <f t="array" aca="1" ref="C114:F114" ca="1">_xlfn.TEXTSPLIT(A114," ")</f>
        <v>#NAME?</v>
      </c>
      <c r="D114" t="e">
        <f ca="1"/>
        <v>#NAME?</v>
      </c>
      <c r="E114" t="e">
        <f ca="1"/>
        <v>#NAME?</v>
      </c>
      <c r="F114" t="e">
        <f ca="1"/>
        <v>#NAME?</v>
      </c>
      <c r="I114" s="1">
        <f t="shared" ca="1" si="6"/>
        <v>4</v>
      </c>
      <c r="J114" s="1">
        <f t="shared" ca="1" si="11"/>
        <v>1</v>
      </c>
      <c r="K114" t="e">
        <f t="shared" ca="1" si="7"/>
        <v>#NAME?</v>
      </c>
      <c r="L114" t="e">
        <f t="shared" ca="1" si="8"/>
        <v>#NAME?</v>
      </c>
      <c r="M114">
        <f t="shared" ca="1" si="9"/>
        <v>0</v>
      </c>
      <c r="N114" t="s">
        <v>897</v>
      </c>
      <c r="O114" s="1">
        <f t="shared" si="10"/>
        <v>113</v>
      </c>
    </row>
    <row r="115" spans="1:15" x14ac:dyDescent="0.35">
      <c r="A115" s="44" t="s">
        <v>334</v>
      </c>
      <c r="B115" s="48">
        <v>114</v>
      </c>
      <c r="C115" t="e" cm="1">
        <f t="array" aca="1" ref="C115:F115" ca="1">_xlfn.TEXTSPLIT(A115," ")</f>
        <v>#NAME?</v>
      </c>
      <c r="D115" t="e">
        <f ca="1"/>
        <v>#NAME?</v>
      </c>
      <c r="E115" t="e">
        <f ca="1"/>
        <v>#NAME?</v>
      </c>
      <c r="F115" t="e">
        <f ca="1"/>
        <v>#NAME?</v>
      </c>
      <c r="I115" s="1">
        <f t="shared" ca="1" si="6"/>
        <v>4</v>
      </c>
      <c r="J115" s="1">
        <f t="shared" ca="1" si="11"/>
        <v>1</v>
      </c>
      <c r="K115" t="e">
        <f t="shared" ca="1" si="7"/>
        <v>#NAME?</v>
      </c>
      <c r="L115" t="e">
        <f t="shared" ca="1" si="8"/>
        <v>#NAME?</v>
      </c>
      <c r="M115">
        <f t="shared" ca="1" si="9"/>
        <v>0</v>
      </c>
      <c r="N115" t="s">
        <v>898</v>
      </c>
      <c r="O115" s="1">
        <f t="shared" si="10"/>
        <v>114</v>
      </c>
    </row>
    <row r="116" spans="1:15" x14ac:dyDescent="0.35">
      <c r="A116" s="42" t="s">
        <v>335</v>
      </c>
      <c r="B116" s="48">
        <v>115</v>
      </c>
      <c r="C116" t="e" cm="1">
        <f t="array" aca="1" ref="C116:F116" ca="1">_xlfn.TEXTSPLIT(A116," ")</f>
        <v>#NAME?</v>
      </c>
      <c r="D116" t="e">
        <f ca="1"/>
        <v>#NAME?</v>
      </c>
      <c r="E116" t="e">
        <f ca="1"/>
        <v>#NAME?</v>
      </c>
      <c r="F116" t="e">
        <f ca="1"/>
        <v>#NAME?</v>
      </c>
      <c r="I116" s="1">
        <f t="shared" ca="1" si="6"/>
        <v>4</v>
      </c>
      <c r="J116" s="1">
        <f t="shared" ca="1" si="11"/>
        <v>1</v>
      </c>
      <c r="K116" t="e">
        <f t="shared" ca="1" si="7"/>
        <v>#NAME?</v>
      </c>
      <c r="L116" t="e">
        <f t="shared" ca="1" si="8"/>
        <v>#NAME?</v>
      </c>
      <c r="M116">
        <f t="shared" ca="1" si="9"/>
        <v>0</v>
      </c>
      <c r="N116" t="s">
        <v>899</v>
      </c>
      <c r="O116" s="1">
        <f t="shared" si="10"/>
        <v>115</v>
      </c>
    </row>
    <row r="117" spans="1:15" x14ac:dyDescent="0.35">
      <c r="A117" s="44" t="s">
        <v>336</v>
      </c>
      <c r="B117" s="48">
        <v>116</v>
      </c>
      <c r="C117" t="e" cm="1">
        <f t="array" aca="1" ref="C117:F117" ca="1">_xlfn.TEXTSPLIT(A117," ")</f>
        <v>#NAME?</v>
      </c>
      <c r="D117" t="e">
        <f ca="1"/>
        <v>#NAME?</v>
      </c>
      <c r="E117" t="e">
        <f ca="1"/>
        <v>#NAME?</v>
      </c>
      <c r="F117" t="e">
        <f ca="1"/>
        <v>#NAME?</v>
      </c>
      <c r="I117" s="1">
        <f t="shared" ca="1" si="6"/>
        <v>4</v>
      </c>
      <c r="J117" s="1">
        <f t="shared" ca="1" si="11"/>
        <v>1</v>
      </c>
      <c r="K117" t="e">
        <f t="shared" ca="1" si="7"/>
        <v>#NAME?</v>
      </c>
      <c r="L117" t="e">
        <f t="shared" ca="1" si="8"/>
        <v>#NAME?</v>
      </c>
      <c r="M117">
        <f t="shared" ca="1" si="9"/>
        <v>0</v>
      </c>
      <c r="N117" t="s">
        <v>900</v>
      </c>
      <c r="O117" s="1">
        <f t="shared" si="10"/>
        <v>116</v>
      </c>
    </row>
    <row r="118" spans="1:15" x14ac:dyDescent="0.35">
      <c r="A118" s="42" t="s">
        <v>337</v>
      </c>
      <c r="B118" s="48">
        <v>117</v>
      </c>
      <c r="C118" t="e" cm="1">
        <f t="array" aca="1" ref="C118:F118" ca="1">_xlfn.TEXTSPLIT(A118," ")</f>
        <v>#NAME?</v>
      </c>
      <c r="D118" t="e">
        <f ca="1"/>
        <v>#NAME?</v>
      </c>
      <c r="E118" t="e">
        <f ca="1"/>
        <v>#NAME?</v>
      </c>
      <c r="F118" t="e">
        <f ca="1"/>
        <v>#NAME?</v>
      </c>
      <c r="I118" s="1">
        <f t="shared" ca="1" si="6"/>
        <v>4</v>
      </c>
      <c r="J118" s="1">
        <f t="shared" ca="1" si="11"/>
        <v>1</v>
      </c>
      <c r="K118" t="e">
        <f t="shared" ca="1" si="7"/>
        <v>#NAME?</v>
      </c>
      <c r="L118" t="e">
        <f t="shared" ca="1" si="8"/>
        <v>#NAME?</v>
      </c>
      <c r="M118">
        <f t="shared" ca="1" si="9"/>
        <v>0</v>
      </c>
      <c r="N118" t="s">
        <v>901</v>
      </c>
      <c r="O118" s="1">
        <f t="shared" si="10"/>
        <v>117</v>
      </c>
    </row>
    <row r="119" spans="1:15" x14ac:dyDescent="0.35">
      <c r="A119" s="44" t="s">
        <v>338</v>
      </c>
      <c r="B119" s="48">
        <v>118</v>
      </c>
      <c r="C119" t="s">
        <v>727</v>
      </c>
      <c r="E119" t="s">
        <v>725</v>
      </c>
      <c r="F119" t="s">
        <v>726</v>
      </c>
      <c r="I119" s="1">
        <f t="shared" si="6"/>
        <v>3</v>
      </c>
      <c r="J119" s="1">
        <f t="shared" si="11"/>
        <v>1</v>
      </c>
      <c r="K119" t="str">
        <f t="shared" si="7"/>
        <v>miguel ángel</v>
      </c>
      <c r="L119" t="str">
        <f t="shared" si="8"/>
        <v>botto</v>
      </c>
      <c r="M119">
        <f t="shared" ca="1" si="9"/>
        <v>0</v>
      </c>
      <c r="N119" t="s">
        <v>902</v>
      </c>
      <c r="O119" s="1">
        <f t="shared" si="10"/>
        <v>118</v>
      </c>
    </row>
    <row r="120" spans="1:15" x14ac:dyDescent="0.35">
      <c r="A120" s="42" t="s">
        <v>339</v>
      </c>
      <c r="B120" s="48">
        <v>119</v>
      </c>
      <c r="C120" t="e" cm="1">
        <f t="array" aca="1" ref="C120:F120" ca="1">_xlfn.TEXTSPLIT(A120," ")</f>
        <v>#NAME?</v>
      </c>
      <c r="D120" t="e">
        <f ca="1"/>
        <v>#NAME?</v>
      </c>
      <c r="E120" t="e">
        <f ca="1"/>
        <v>#NAME?</v>
      </c>
      <c r="F120" t="e">
        <f ca="1"/>
        <v>#NAME?</v>
      </c>
      <c r="I120" s="1">
        <f t="shared" ca="1" si="6"/>
        <v>4</v>
      </c>
      <c r="J120" s="1">
        <f t="shared" ca="1" si="11"/>
        <v>1</v>
      </c>
      <c r="K120" t="e">
        <f t="shared" ca="1" si="7"/>
        <v>#NAME?</v>
      </c>
      <c r="L120" t="e">
        <f t="shared" ca="1" si="8"/>
        <v>#NAME?</v>
      </c>
      <c r="M120">
        <f t="shared" ca="1" si="9"/>
        <v>0</v>
      </c>
      <c r="N120" t="s">
        <v>903</v>
      </c>
      <c r="O120" s="1">
        <f t="shared" si="10"/>
        <v>119</v>
      </c>
    </row>
    <row r="121" spans="1:15" x14ac:dyDescent="0.35">
      <c r="A121" s="44" t="s">
        <v>340</v>
      </c>
      <c r="B121" s="48">
        <v>120</v>
      </c>
      <c r="C121" t="s">
        <v>649</v>
      </c>
      <c r="D121" t="s">
        <v>625</v>
      </c>
      <c r="E121" t="s">
        <v>650</v>
      </c>
      <c r="F121" t="s">
        <v>651</v>
      </c>
      <c r="I121" s="1">
        <f t="shared" si="6"/>
        <v>4</v>
      </c>
      <c r="J121" s="1">
        <f t="shared" si="11"/>
        <v>1</v>
      </c>
      <c r="K121" t="str">
        <f t="shared" si="7"/>
        <v>natividad</v>
      </c>
      <c r="L121" t="str">
        <f t="shared" si="8"/>
        <v>llanquileo</v>
      </c>
      <c r="M121">
        <f t="shared" ca="1" si="9"/>
        <v>0</v>
      </c>
      <c r="N121" t="s">
        <v>904</v>
      </c>
      <c r="O121" s="1">
        <f t="shared" si="10"/>
        <v>120</v>
      </c>
    </row>
    <row r="122" spans="1:15" x14ac:dyDescent="0.35">
      <c r="A122" s="42" t="s">
        <v>341</v>
      </c>
      <c r="B122" s="48">
        <v>121</v>
      </c>
      <c r="C122" t="e" cm="1">
        <f t="array" aca="1" ref="C122:F122" ca="1">_xlfn.TEXTSPLIT(A122," ")</f>
        <v>#NAME?</v>
      </c>
      <c r="D122" t="e">
        <f ca="1"/>
        <v>#NAME?</v>
      </c>
      <c r="E122" t="e">
        <f ca="1"/>
        <v>#NAME?</v>
      </c>
      <c r="F122" t="e">
        <f ca="1"/>
        <v>#NAME?</v>
      </c>
      <c r="I122" s="1">
        <f t="shared" ca="1" si="6"/>
        <v>4</v>
      </c>
      <c r="J122" s="1">
        <f t="shared" ca="1" si="11"/>
        <v>1</v>
      </c>
      <c r="K122" t="e">
        <f t="shared" ca="1" si="7"/>
        <v>#NAME?</v>
      </c>
      <c r="L122" t="e">
        <f t="shared" ca="1" si="8"/>
        <v>#NAME?</v>
      </c>
      <c r="M122">
        <f t="shared" ca="1" si="9"/>
        <v>0</v>
      </c>
      <c r="N122" t="s">
        <v>905</v>
      </c>
      <c r="O122" s="1">
        <f t="shared" si="10"/>
        <v>121</v>
      </c>
    </row>
    <row r="123" spans="1:15" x14ac:dyDescent="0.35">
      <c r="A123" s="44" t="s">
        <v>342</v>
      </c>
      <c r="B123" s="48">
        <v>122</v>
      </c>
      <c r="C123" t="e" cm="1">
        <f t="array" aca="1" ref="C123:F123" ca="1">_xlfn.TEXTSPLIT(A123," ")</f>
        <v>#NAME?</v>
      </c>
      <c r="D123" t="e">
        <f ca="1"/>
        <v>#NAME?</v>
      </c>
      <c r="E123" t="e">
        <f ca="1"/>
        <v>#NAME?</v>
      </c>
      <c r="F123" t="e">
        <f ca="1"/>
        <v>#NAME?</v>
      </c>
      <c r="I123" s="1">
        <f t="shared" ca="1" si="6"/>
        <v>4</v>
      </c>
      <c r="J123" s="1">
        <f t="shared" ca="1" si="11"/>
        <v>1</v>
      </c>
      <c r="K123" t="e">
        <f t="shared" ca="1" si="7"/>
        <v>#NAME?</v>
      </c>
      <c r="L123" t="e">
        <f t="shared" ca="1" si="8"/>
        <v>#NAME?</v>
      </c>
      <c r="M123">
        <f t="shared" ca="1" si="9"/>
        <v>0</v>
      </c>
      <c r="N123" t="s">
        <v>906</v>
      </c>
      <c r="O123" s="1">
        <f t="shared" si="10"/>
        <v>122</v>
      </c>
    </row>
    <row r="124" spans="1:15" x14ac:dyDescent="0.35">
      <c r="A124" s="42" t="s">
        <v>343</v>
      </c>
      <c r="B124" s="48">
        <v>123</v>
      </c>
      <c r="C124" t="e" cm="1">
        <f t="array" aca="1" ref="C124:F124" ca="1">_xlfn.TEXTSPLIT(A124," ")</f>
        <v>#NAME?</v>
      </c>
      <c r="D124" t="e">
        <f ca="1"/>
        <v>#NAME?</v>
      </c>
      <c r="E124" t="e">
        <f ca="1"/>
        <v>#NAME?</v>
      </c>
      <c r="F124" t="e">
        <f ca="1"/>
        <v>#NAME?</v>
      </c>
      <c r="I124" s="1">
        <f t="shared" ca="1" si="6"/>
        <v>4</v>
      </c>
      <c r="J124" s="1">
        <f t="shared" ca="1" si="11"/>
        <v>1</v>
      </c>
      <c r="K124" t="e">
        <f t="shared" ca="1" si="7"/>
        <v>#NAME?</v>
      </c>
      <c r="L124" t="e">
        <f t="shared" ca="1" si="8"/>
        <v>#NAME?</v>
      </c>
      <c r="M124">
        <f t="shared" ca="1" si="9"/>
        <v>0</v>
      </c>
      <c r="N124" t="s">
        <v>907</v>
      </c>
      <c r="O124" s="1">
        <f t="shared" si="10"/>
        <v>123</v>
      </c>
    </row>
    <row r="125" spans="1:15" x14ac:dyDescent="0.35">
      <c r="A125" s="44" t="s">
        <v>344</v>
      </c>
      <c r="B125" s="48">
        <v>124</v>
      </c>
      <c r="C125" t="e" cm="1">
        <f t="array" aca="1" ref="C125:F125" ca="1">_xlfn.TEXTSPLIT(A125," ")</f>
        <v>#NAME?</v>
      </c>
      <c r="D125" t="e">
        <f ca="1"/>
        <v>#NAME?</v>
      </c>
      <c r="E125" t="e">
        <f ca="1"/>
        <v>#NAME?</v>
      </c>
      <c r="F125" t="e">
        <f ca="1"/>
        <v>#NAME?</v>
      </c>
      <c r="I125" s="1">
        <f t="shared" ca="1" si="6"/>
        <v>4</v>
      </c>
      <c r="J125" s="1">
        <f t="shared" ca="1" si="11"/>
        <v>1</v>
      </c>
      <c r="K125" t="e">
        <f t="shared" ca="1" si="7"/>
        <v>#NAME?</v>
      </c>
      <c r="L125" t="e">
        <f t="shared" ca="1" si="8"/>
        <v>#NAME?</v>
      </c>
      <c r="M125">
        <f t="shared" ca="1" si="9"/>
        <v>0</v>
      </c>
      <c r="N125" t="s">
        <v>908</v>
      </c>
      <c r="O125" s="1">
        <f t="shared" si="10"/>
        <v>124</v>
      </c>
    </row>
    <row r="126" spans="1:15" x14ac:dyDescent="0.35">
      <c r="A126" s="42" t="s">
        <v>345</v>
      </c>
      <c r="B126" s="48">
        <v>125</v>
      </c>
      <c r="C126" t="e" cm="1">
        <f t="array" aca="1" ref="C126:F126" ca="1">_xlfn.TEXTSPLIT(A126," ")</f>
        <v>#NAME?</v>
      </c>
      <c r="D126" t="e">
        <f ca="1"/>
        <v>#NAME?</v>
      </c>
      <c r="E126" t="e">
        <f ca="1"/>
        <v>#NAME?</v>
      </c>
      <c r="F126" t="e">
        <f ca="1"/>
        <v>#NAME?</v>
      </c>
      <c r="I126" s="1">
        <f t="shared" ca="1" si="6"/>
        <v>4</v>
      </c>
      <c r="J126" s="1">
        <f t="shared" ca="1" si="11"/>
        <v>1</v>
      </c>
      <c r="K126" t="e">
        <f t="shared" ca="1" si="7"/>
        <v>#NAME?</v>
      </c>
      <c r="L126" t="e">
        <f t="shared" ca="1" si="8"/>
        <v>#NAME?</v>
      </c>
      <c r="M126">
        <f t="shared" ca="1" si="9"/>
        <v>0</v>
      </c>
      <c r="N126" t="s">
        <v>909</v>
      </c>
      <c r="O126" s="1">
        <f t="shared" si="10"/>
        <v>125</v>
      </c>
    </row>
    <row r="127" spans="1:15" x14ac:dyDescent="0.35">
      <c r="A127" s="44" t="s">
        <v>346</v>
      </c>
      <c r="B127" s="48">
        <v>126</v>
      </c>
      <c r="C127" t="e" cm="1">
        <f t="array" aca="1" ref="C127:F127" ca="1">_xlfn.TEXTSPLIT(A127," ")</f>
        <v>#NAME?</v>
      </c>
      <c r="D127" t="e">
        <f ca="1"/>
        <v>#NAME?</v>
      </c>
      <c r="E127" t="e">
        <f ca="1"/>
        <v>#NAME?</v>
      </c>
      <c r="F127" t="e">
        <f ca="1"/>
        <v>#NAME?</v>
      </c>
      <c r="I127" s="1">
        <f t="shared" ca="1" si="6"/>
        <v>4</v>
      </c>
      <c r="J127" s="1">
        <f t="shared" ca="1" si="11"/>
        <v>1</v>
      </c>
      <c r="K127" t="e">
        <f t="shared" ca="1" si="7"/>
        <v>#NAME?</v>
      </c>
      <c r="L127" t="e">
        <f t="shared" ca="1" si="8"/>
        <v>#NAME?</v>
      </c>
      <c r="M127">
        <f t="shared" ca="1" si="9"/>
        <v>0</v>
      </c>
      <c r="N127" t="s">
        <v>910</v>
      </c>
      <c r="O127" s="1">
        <f t="shared" si="10"/>
        <v>126</v>
      </c>
    </row>
    <row r="128" spans="1:15" x14ac:dyDescent="0.35">
      <c r="A128" s="42" t="s">
        <v>347</v>
      </c>
      <c r="B128" s="48">
        <v>127</v>
      </c>
      <c r="C128" t="e" cm="1">
        <f t="array" aca="1" ref="C128:F128" ca="1">_xlfn.TEXTSPLIT(A128," ")</f>
        <v>#NAME?</v>
      </c>
      <c r="D128" t="e">
        <f ca="1"/>
        <v>#NAME?</v>
      </c>
      <c r="E128" t="e">
        <f ca="1"/>
        <v>#NAME?</v>
      </c>
      <c r="F128" t="e">
        <f ca="1"/>
        <v>#NAME?</v>
      </c>
      <c r="I128" s="1">
        <f t="shared" ca="1" si="6"/>
        <v>4</v>
      </c>
      <c r="J128" s="1">
        <f t="shared" ca="1" si="11"/>
        <v>1</v>
      </c>
      <c r="K128" t="e">
        <f t="shared" ca="1" si="7"/>
        <v>#NAME?</v>
      </c>
      <c r="L128" t="e">
        <f t="shared" ca="1" si="8"/>
        <v>#NAME?</v>
      </c>
      <c r="M128">
        <f t="shared" ca="1" si="9"/>
        <v>0</v>
      </c>
      <c r="N128" t="s">
        <v>911</v>
      </c>
      <c r="O128" s="1">
        <f t="shared" si="10"/>
        <v>127</v>
      </c>
    </row>
    <row r="129" spans="1:15" x14ac:dyDescent="0.35">
      <c r="A129" s="44" t="s">
        <v>348</v>
      </c>
      <c r="B129" s="48">
        <v>128</v>
      </c>
      <c r="C129" t="e" cm="1">
        <f t="array" aca="1" ref="C129:F129" ca="1">_xlfn.TEXTSPLIT(A129," ")</f>
        <v>#NAME?</v>
      </c>
      <c r="D129" t="e">
        <f ca="1"/>
        <v>#NAME?</v>
      </c>
      <c r="E129" t="e">
        <f ca="1"/>
        <v>#NAME?</v>
      </c>
      <c r="F129" t="e">
        <f ca="1"/>
        <v>#NAME?</v>
      </c>
      <c r="I129" s="1">
        <f t="shared" ca="1" si="6"/>
        <v>4</v>
      </c>
      <c r="J129" s="1">
        <f t="shared" ca="1" si="11"/>
        <v>1</v>
      </c>
      <c r="K129" t="e">
        <f t="shared" ca="1" si="7"/>
        <v>#NAME?</v>
      </c>
      <c r="L129" t="e">
        <f t="shared" ca="1" si="8"/>
        <v>#NAME?</v>
      </c>
      <c r="M129">
        <f t="shared" ca="1" si="9"/>
        <v>0</v>
      </c>
      <c r="N129" t="s">
        <v>912</v>
      </c>
      <c r="O129" s="1">
        <f t="shared" si="10"/>
        <v>128</v>
      </c>
    </row>
    <row r="130" spans="1:15" x14ac:dyDescent="0.35">
      <c r="A130" s="42" t="s">
        <v>349</v>
      </c>
      <c r="B130" s="48">
        <v>129</v>
      </c>
      <c r="C130" t="e" cm="1">
        <f t="array" aca="1" ref="C130:F130" ca="1">_xlfn.TEXTSPLIT(A130," ")</f>
        <v>#NAME?</v>
      </c>
      <c r="D130" t="e">
        <f ca="1"/>
        <v>#NAME?</v>
      </c>
      <c r="E130" t="e">
        <f ca="1"/>
        <v>#NAME?</v>
      </c>
      <c r="F130" t="e">
        <f ca="1"/>
        <v>#NAME?</v>
      </c>
      <c r="I130" s="1">
        <f t="shared" ca="1" si="6"/>
        <v>4</v>
      </c>
      <c r="J130" s="1">
        <f t="shared" ca="1" si="11"/>
        <v>1</v>
      </c>
      <c r="K130" t="e">
        <f t="shared" ca="1" si="7"/>
        <v>#NAME?</v>
      </c>
      <c r="L130" t="e">
        <f t="shared" ca="1" si="8"/>
        <v>#NAME?</v>
      </c>
      <c r="M130">
        <f t="shared" ca="1" si="9"/>
        <v>0</v>
      </c>
      <c r="N130" t="s">
        <v>913</v>
      </c>
      <c r="O130" s="1">
        <f t="shared" si="10"/>
        <v>129</v>
      </c>
    </row>
    <row r="131" spans="1:15" x14ac:dyDescent="0.35">
      <c r="A131" s="44" t="s">
        <v>350</v>
      </c>
      <c r="B131" s="48">
        <v>130</v>
      </c>
      <c r="C131" t="s">
        <v>652</v>
      </c>
      <c r="D131" t="s">
        <v>655</v>
      </c>
      <c r="E131" t="s">
        <v>653</v>
      </c>
      <c r="F131" t="s">
        <v>654</v>
      </c>
      <c r="I131" s="1">
        <f t="shared" ref="I131:I156" si="12">COUNTA(C131:H131)</f>
        <v>4</v>
      </c>
      <c r="J131" s="1">
        <f t="shared" si="11"/>
        <v>1</v>
      </c>
      <c r="K131" t="str">
        <f t="shared" ref="K131:K156" si="13">LOWER(TRIM(C131))</f>
        <v>pollyana</v>
      </c>
      <c r="L131" t="str">
        <f t="shared" ref="L131:L156" si="14">LOWER(TRIM(E131))</f>
        <v>rivera</v>
      </c>
      <c r="M131">
        <f t="shared" ref="M131:M156" ca="1" si="15">IFERROR(IF(J131=1,_xlfn.CONCAT(L131,", ",K131)),0)</f>
        <v>0</v>
      </c>
      <c r="N131" t="s">
        <v>914</v>
      </c>
      <c r="O131" s="1">
        <f t="shared" ref="O131:O156" si="16">B131</f>
        <v>130</v>
      </c>
    </row>
    <row r="132" spans="1:15" x14ac:dyDescent="0.35">
      <c r="A132" s="42" t="s">
        <v>351</v>
      </c>
      <c r="B132" s="48">
        <v>131</v>
      </c>
      <c r="C132" t="e" cm="1">
        <f t="array" aca="1" ref="C132:F132" ca="1">_xlfn.TEXTSPLIT(A132," ")</f>
        <v>#NAME?</v>
      </c>
      <c r="D132" t="e">
        <f ca="1"/>
        <v>#NAME?</v>
      </c>
      <c r="E132" t="e">
        <f ca="1"/>
        <v>#NAME?</v>
      </c>
      <c r="F132" t="e">
        <f ca="1"/>
        <v>#NAME?</v>
      </c>
      <c r="I132" s="1">
        <f t="shared" ca="1" si="12"/>
        <v>4</v>
      </c>
      <c r="J132" s="1">
        <f t="shared" ca="1" si="11"/>
        <v>1</v>
      </c>
      <c r="K132" t="e">
        <f t="shared" ca="1" si="13"/>
        <v>#NAME?</v>
      </c>
      <c r="L132" t="e">
        <f t="shared" ca="1" si="14"/>
        <v>#NAME?</v>
      </c>
      <c r="M132">
        <f t="shared" ca="1" si="15"/>
        <v>0</v>
      </c>
      <c r="N132" t="s">
        <v>915</v>
      </c>
      <c r="O132" s="1">
        <f t="shared" si="16"/>
        <v>131</v>
      </c>
    </row>
    <row r="133" spans="1:15" x14ac:dyDescent="0.35">
      <c r="A133" s="44" t="s">
        <v>352</v>
      </c>
      <c r="B133" s="48">
        <v>132</v>
      </c>
      <c r="C133" t="e" cm="1">
        <f t="array" aca="1" ref="C133:F133" ca="1">_xlfn.TEXTSPLIT(A133," ")</f>
        <v>#NAME?</v>
      </c>
      <c r="D133" t="e">
        <f ca="1"/>
        <v>#NAME?</v>
      </c>
      <c r="E133" t="e">
        <f ca="1"/>
        <v>#NAME?</v>
      </c>
      <c r="F133" t="e">
        <f ca="1"/>
        <v>#NAME?</v>
      </c>
      <c r="I133" s="1">
        <f t="shared" ca="1" si="12"/>
        <v>4</v>
      </c>
      <c r="J133" s="1">
        <f t="shared" ref="J133:J156" ca="1" si="17">IF(I133&lt;5,1,0)</f>
        <v>1</v>
      </c>
      <c r="K133" t="e">
        <f t="shared" ca="1" si="13"/>
        <v>#NAME?</v>
      </c>
      <c r="L133" t="e">
        <f t="shared" ca="1" si="14"/>
        <v>#NAME?</v>
      </c>
      <c r="M133">
        <f t="shared" ca="1" si="15"/>
        <v>0</v>
      </c>
      <c r="N133" t="s">
        <v>916</v>
      </c>
      <c r="O133" s="1">
        <f t="shared" si="16"/>
        <v>132</v>
      </c>
    </row>
    <row r="134" spans="1:15" x14ac:dyDescent="0.35">
      <c r="A134" s="42" t="s">
        <v>353</v>
      </c>
      <c r="B134" s="48">
        <v>133</v>
      </c>
      <c r="C134" t="e" cm="1">
        <f t="array" aca="1" ref="C134:F134" ca="1">_xlfn.TEXTSPLIT(A134," ")</f>
        <v>#NAME?</v>
      </c>
      <c r="D134" t="e">
        <f ca="1"/>
        <v>#NAME?</v>
      </c>
      <c r="E134" t="e">
        <f ca="1"/>
        <v>#NAME?</v>
      </c>
      <c r="F134" t="e">
        <f ca="1"/>
        <v>#NAME?</v>
      </c>
      <c r="I134" s="1">
        <f t="shared" ca="1" si="12"/>
        <v>4</v>
      </c>
      <c r="J134" s="1">
        <f t="shared" ca="1" si="17"/>
        <v>1</v>
      </c>
      <c r="K134" t="e">
        <f t="shared" ca="1" si="13"/>
        <v>#NAME?</v>
      </c>
      <c r="L134" t="e">
        <f t="shared" ca="1" si="14"/>
        <v>#NAME?</v>
      </c>
      <c r="M134">
        <f t="shared" ca="1" si="15"/>
        <v>0</v>
      </c>
      <c r="N134" t="s">
        <v>917</v>
      </c>
      <c r="O134" s="1">
        <f t="shared" si="16"/>
        <v>133</v>
      </c>
    </row>
    <row r="135" spans="1:15" x14ac:dyDescent="0.35">
      <c r="A135" s="44" t="s">
        <v>354</v>
      </c>
      <c r="B135" s="48">
        <v>134</v>
      </c>
      <c r="C135" t="e" cm="1">
        <f t="array" aca="1" ref="C135:F135" ca="1">_xlfn.TEXTSPLIT(A135," ")</f>
        <v>#NAME?</v>
      </c>
      <c r="D135" t="e">
        <f ca="1"/>
        <v>#NAME?</v>
      </c>
      <c r="E135" t="e">
        <f ca="1"/>
        <v>#NAME?</v>
      </c>
      <c r="F135" t="e">
        <f ca="1"/>
        <v>#NAME?</v>
      </c>
      <c r="I135" s="1">
        <f t="shared" ca="1" si="12"/>
        <v>4</v>
      </c>
      <c r="J135" s="1">
        <f t="shared" ca="1" si="17"/>
        <v>1</v>
      </c>
      <c r="K135" t="e">
        <f t="shared" ca="1" si="13"/>
        <v>#NAME?</v>
      </c>
      <c r="L135" t="e">
        <f t="shared" ca="1" si="14"/>
        <v>#NAME?</v>
      </c>
      <c r="M135">
        <f t="shared" ca="1" si="15"/>
        <v>0</v>
      </c>
      <c r="N135" t="s">
        <v>918</v>
      </c>
      <c r="O135" s="1">
        <f t="shared" si="16"/>
        <v>134</v>
      </c>
    </row>
    <row r="136" spans="1:15" x14ac:dyDescent="0.35">
      <c r="A136" s="42" t="s">
        <v>355</v>
      </c>
      <c r="B136" s="48">
        <v>135</v>
      </c>
      <c r="C136" t="e" cm="1">
        <f t="array" aca="1" ref="C136:F136" ca="1">_xlfn.TEXTSPLIT(A136," ")</f>
        <v>#NAME?</v>
      </c>
      <c r="D136" t="e">
        <f ca="1"/>
        <v>#NAME?</v>
      </c>
      <c r="E136" t="e">
        <f ca="1"/>
        <v>#NAME?</v>
      </c>
      <c r="F136" t="e">
        <f ca="1"/>
        <v>#NAME?</v>
      </c>
      <c r="I136" s="1">
        <f t="shared" ca="1" si="12"/>
        <v>4</v>
      </c>
      <c r="J136" s="1">
        <f t="shared" ca="1" si="17"/>
        <v>1</v>
      </c>
      <c r="K136" t="e">
        <f t="shared" ca="1" si="13"/>
        <v>#NAME?</v>
      </c>
      <c r="L136" t="e">
        <f t="shared" ca="1" si="14"/>
        <v>#NAME?</v>
      </c>
      <c r="M136">
        <f t="shared" ca="1" si="15"/>
        <v>0</v>
      </c>
      <c r="N136" t="s">
        <v>919</v>
      </c>
      <c r="O136" s="1">
        <f t="shared" si="16"/>
        <v>135</v>
      </c>
    </row>
    <row r="137" spans="1:15" x14ac:dyDescent="0.35">
      <c r="A137" s="44" t="s">
        <v>356</v>
      </c>
      <c r="B137" s="48">
        <v>136</v>
      </c>
      <c r="C137" t="e" cm="1">
        <f t="array" aca="1" ref="C137:F137" ca="1">_xlfn.TEXTSPLIT(A137," ")</f>
        <v>#NAME?</v>
      </c>
      <c r="D137" t="e">
        <f ca="1"/>
        <v>#NAME?</v>
      </c>
      <c r="E137" t="e">
        <f ca="1"/>
        <v>#NAME?</v>
      </c>
      <c r="F137" t="e">
        <f ca="1"/>
        <v>#NAME?</v>
      </c>
      <c r="I137" s="1">
        <f t="shared" ca="1" si="12"/>
        <v>4</v>
      </c>
      <c r="J137" s="1">
        <f t="shared" ca="1" si="17"/>
        <v>1</v>
      </c>
      <c r="K137" t="e">
        <f t="shared" ca="1" si="13"/>
        <v>#NAME?</v>
      </c>
      <c r="L137" t="e">
        <f t="shared" ca="1" si="14"/>
        <v>#NAME?</v>
      </c>
      <c r="M137">
        <f t="shared" ca="1" si="15"/>
        <v>0</v>
      </c>
      <c r="N137" t="s">
        <v>920</v>
      </c>
      <c r="O137" s="1">
        <f t="shared" si="16"/>
        <v>136</v>
      </c>
    </row>
    <row r="138" spans="1:15" x14ac:dyDescent="0.35">
      <c r="A138" s="42" t="s">
        <v>357</v>
      </c>
      <c r="B138" s="48">
        <v>137</v>
      </c>
      <c r="C138" t="e" cm="1">
        <f t="array" aca="1" ref="C138:F138" ca="1">_xlfn.TEXTSPLIT(A138," ")</f>
        <v>#NAME?</v>
      </c>
      <c r="D138" t="e">
        <f ca="1"/>
        <v>#NAME?</v>
      </c>
      <c r="E138" t="e">
        <f ca="1"/>
        <v>#NAME?</v>
      </c>
      <c r="F138" t="e">
        <f ca="1"/>
        <v>#NAME?</v>
      </c>
      <c r="I138" s="1">
        <f t="shared" ca="1" si="12"/>
        <v>4</v>
      </c>
      <c r="J138" s="1">
        <f t="shared" ca="1" si="17"/>
        <v>1</v>
      </c>
      <c r="K138" t="e">
        <f t="shared" ca="1" si="13"/>
        <v>#NAME?</v>
      </c>
      <c r="L138" t="e">
        <f t="shared" ca="1" si="14"/>
        <v>#NAME?</v>
      </c>
      <c r="M138">
        <f t="shared" ca="1" si="15"/>
        <v>0</v>
      </c>
      <c r="N138" t="s">
        <v>921</v>
      </c>
      <c r="O138" s="1">
        <f t="shared" si="16"/>
        <v>137</v>
      </c>
    </row>
    <row r="139" spans="1:15" x14ac:dyDescent="0.35">
      <c r="A139" s="44" t="s">
        <v>358</v>
      </c>
      <c r="B139" s="48">
        <v>138</v>
      </c>
      <c r="C139" t="e" cm="1">
        <f t="array" aca="1" ref="C139:F139" ca="1">_xlfn.TEXTSPLIT(A139," ")</f>
        <v>#NAME?</v>
      </c>
      <c r="D139" t="e">
        <f ca="1"/>
        <v>#NAME?</v>
      </c>
      <c r="E139" t="e">
        <f ca="1"/>
        <v>#NAME?</v>
      </c>
      <c r="F139" t="e">
        <f ca="1"/>
        <v>#NAME?</v>
      </c>
      <c r="I139" s="1">
        <f t="shared" ca="1" si="12"/>
        <v>4</v>
      </c>
      <c r="J139" s="1">
        <f t="shared" ca="1" si="17"/>
        <v>1</v>
      </c>
      <c r="K139" t="e">
        <f t="shared" ca="1" si="13"/>
        <v>#NAME?</v>
      </c>
      <c r="L139" t="e">
        <f t="shared" ca="1" si="14"/>
        <v>#NAME?</v>
      </c>
      <c r="M139">
        <f t="shared" ca="1" si="15"/>
        <v>0</v>
      </c>
      <c r="N139" t="s">
        <v>922</v>
      </c>
      <c r="O139" s="1">
        <f t="shared" si="16"/>
        <v>138</v>
      </c>
    </row>
    <row r="140" spans="1:15" x14ac:dyDescent="0.35">
      <c r="A140" s="42" t="s">
        <v>359</v>
      </c>
      <c r="B140" s="48">
        <v>139</v>
      </c>
      <c r="C140" t="e" cm="1">
        <f t="array" aca="1" ref="C140:F140" ca="1">_xlfn.TEXTSPLIT(A140," ")</f>
        <v>#NAME?</v>
      </c>
      <c r="D140" t="e">
        <f ca="1"/>
        <v>#NAME?</v>
      </c>
      <c r="E140" t="e">
        <f ca="1"/>
        <v>#NAME?</v>
      </c>
      <c r="F140" t="e">
        <f ca="1"/>
        <v>#NAME?</v>
      </c>
      <c r="I140" s="1">
        <f t="shared" ca="1" si="12"/>
        <v>4</v>
      </c>
      <c r="J140" s="1">
        <f t="shared" ca="1" si="17"/>
        <v>1</v>
      </c>
      <c r="K140" t="e">
        <f t="shared" ca="1" si="13"/>
        <v>#NAME?</v>
      </c>
      <c r="L140" t="e">
        <f t="shared" ca="1" si="14"/>
        <v>#NAME?</v>
      </c>
      <c r="M140">
        <f t="shared" ca="1" si="15"/>
        <v>0</v>
      </c>
      <c r="N140" t="s">
        <v>923</v>
      </c>
      <c r="O140" s="1">
        <f t="shared" si="16"/>
        <v>139</v>
      </c>
    </row>
    <row r="141" spans="1:15" x14ac:dyDescent="0.35">
      <c r="A141" s="44" t="s">
        <v>360</v>
      </c>
      <c r="B141" s="48">
        <v>140</v>
      </c>
      <c r="C141" t="e" cm="1">
        <f t="array" aca="1" ref="C141:F141" ca="1">_xlfn.TEXTSPLIT(A141," ")</f>
        <v>#NAME?</v>
      </c>
      <c r="D141" t="e">
        <f ca="1"/>
        <v>#NAME?</v>
      </c>
      <c r="E141" t="e">
        <f ca="1"/>
        <v>#NAME?</v>
      </c>
      <c r="F141" t="e">
        <f ca="1"/>
        <v>#NAME?</v>
      </c>
      <c r="I141" s="1">
        <f t="shared" ca="1" si="12"/>
        <v>4</v>
      </c>
      <c r="J141" s="1">
        <f t="shared" ca="1" si="17"/>
        <v>1</v>
      </c>
      <c r="K141" t="e">
        <f t="shared" ca="1" si="13"/>
        <v>#NAME?</v>
      </c>
      <c r="L141" t="e">
        <f t="shared" ca="1" si="14"/>
        <v>#NAME?</v>
      </c>
      <c r="M141">
        <f t="shared" ca="1" si="15"/>
        <v>0</v>
      </c>
      <c r="N141" t="s">
        <v>939</v>
      </c>
      <c r="O141" s="1">
        <f t="shared" si="16"/>
        <v>140</v>
      </c>
    </row>
    <row r="142" spans="1:15" x14ac:dyDescent="0.35">
      <c r="A142" s="42" t="s">
        <v>361</v>
      </c>
      <c r="B142" s="48">
        <v>141</v>
      </c>
      <c r="C142" t="e" cm="1">
        <f t="array" aca="1" ref="C142:F142" ca="1">_xlfn.TEXTSPLIT(A142," ")</f>
        <v>#NAME?</v>
      </c>
      <c r="D142" t="e">
        <f ca="1"/>
        <v>#NAME?</v>
      </c>
      <c r="E142" t="e">
        <f ca="1"/>
        <v>#NAME?</v>
      </c>
      <c r="F142" t="e">
        <f ca="1"/>
        <v>#NAME?</v>
      </c>
      <c r="I142" s="1">
        <f t="shared" ca="1" si="12"/>
        <v>4</v>
      </c>
      <c r="J142" s="1">
        <f t="shared" ca="1" si="17"/>
        <v>1</v>
      </c>
      <c r="K142" t="e">
        <f t="shared" ca="1" si="13"/>
        <v>#NAME?</v>
      </c>
      <c r="L142" t="e">
        <f t="shared" ca="1" si="14"/>
        <v>#NAME?</v>
      </c>
      <c r="M142">
        <f t="shared" ca="1" si="15"/>
        <v>0</v>
      </c>
      <c r="N142" t="s">
        <v>924</v>
      </c>
      <c r="O142" s="1">
        <f t="shared" si="16"/>
        <v>141</v>
      </c>
    </row>
    <row r="143" spans="1:15" x14ac:dyDescent="0.35">
      <c r="A143" s="44" t="s">
        <v>362</v>
      </c>
      <c r="B143" s="48">
        <v>142</v>
      </c>
      <c r="C143" t="s">
        <v>728</v>
      </c>
      <c r="D143" t="s">
        <v>728</v>
      </c>
      <c r="E143" t="s">
        <v>671</v>
      </c>
      <c r="F143" t="s">
        <v>729</v>
      </c>
      <c r="I143" s="1">
        <f t="shared" si="12"/>
        <v>4</v>
      </c>
      <c r="J143" s="1">
        <f t="shared" si="17"/>
        <v>1</v>
      </c>
      <c r="K143" t="str">
        <f t="shared" si="13"/>
        <v>loreto</v>
      </c>
      <c r="L143" t="str">
        <f t="shared" si="14"/>
        <v>vidal</v>
      </c>
      <c r="M143">
        <f t="shared" ca="1" si="15"/>
        <v>0</v>
      </c>
      <c r="N143" t="s">
        <v>925</v>
      </c>
      <c r="O143" s="1">
        <f t="shared" si="16"/>
        <v>142</v>
      </c>
    </row>
    <row r="144" spans="1:15" x14ac:dyDescent="0.35">
      <c r="A144" s="42" t="s">
        <v>363</v>
      </c>
      <c r="B144" s="48">
        <v>143</v>
      </c>
      <c r="C144" t="e" cm="1">
        <f t="array" aca="1" ref="C144:F144" ca="1">_xlfn.TEXTSPLIT(A144," ")</f>
        <v>#NAME?</v>
      </c>
      <c r="D144" t="e">
        <f ca="1"/>
        <v>#NAME?</v>
      </c>
      <c r="E144" t="e">
        <f ca="1"/>
        <v>#NAME?</v>
      </c>
      <c r="F144" t="e">
        <f ca="1"/>
        <v>#NAME?</v>
      </c>
      <c r="I144" s="1">
        <f t="shared" ca="1" si="12"/>
        <v>4</v>
      </c>
      <c r="J144" s="1">
        <f t="shared" ca="1" si="17"/>
        <v>1</v>
      </c>
      <c r="K144" t="e">
        <f t="shared" ca="1" si="13"/>
        <v>#NAME?</v>
      </c>
      <c r="L144" t="e">
        <f t="shared" ca="1" si="14"/>
        <v>#NAME?</v>
      </c>
      <c r="M144">
        <f t="shared" ca="1" si="15"/>
        <v>0</v>
      </c>
      <c r="N144" t="s">
        <v>926</v>
      </c>
      <c r="O144" s="1">
        <f t="shared" si="16"/>
        <v>143</v>
      </c>
    </row>
    <row r="145" spans="1:15" x14ac:dyDescent="0.35">
      <c r="A145" s="44" t="s">
        <v>364</v>
      </c>
      <c r="B145" s="48">
        <v>144</v>
      </c>
      <c r="C145" t="e" cm="1">
        <f t="array" aca="1" ref="C145:F145" ca="1">_xlfn.TEXTSPLIT(A145," ")</f>
        <v>#NAME?</v>
      </c>
      <c r="D145" t="e">
        <f ca="1"/>
        <v>#NAME?</v>
      </c>
      <c r="E145" t="e">
        <f ca="1"/>
        <v>#NAME?</v>
      </c>
      <c r="F145" t="e">
        <f ca="1"/>
        <v>#NAME?</v>
      </c>
      <c r="I145" s="1">
        <f t="shared" ca="1" si="12"/>
        <v>4</v>
      </c>
      <c r="J145" s="1">
        <f t="shared" ca="1" si="17"/>
        <v>1</v>
      </c>
      <c r="K145" t="e">
        <f t="shared" ca="1" si="13"/>
        <v>#NAME?</v>
      </c>
      <c r="L145" t="e">
        <f t="shared" ca="1" si="14"/>
        <v>#NAME?</v>
      </c>
      <c r="M145">
        <f t="shared" ca="1" si="15"/>
        <v>0</v>
      </c>
      <c r="N145" t="s">
        <v>927</v>
      </c>
      <c r="O145" s="1">
        <f t="shared" si="16"/>
        <v>144</v>
      </c>
    </row>
    <row r="146" spans="1:15" x14ac:dyDescent="0.35">
      <c r="A146" s="42" t="s">
        <v>365</v>
      </c>
      <c r="B146" s="48">
        <v>145</v>
      </c>
      <c r="C146" t="e" cm="1">
        <f t="array" aca="1" ref="C146:F146" ca="1">_xlfn.TEXTSPLIT(A146," ")</f>
        <v>#NAME?</v>
      </c>
      <c r="D146" t="e">
        <f ca="1"/>
        <v>#NAME?</v>
      </c>
      <c r="E146" t="e">
        <f ca="1"/>
        <v>#NAME?</v>
      </c>
      <c r="F146" t="e">
        <f ca="1"/>
        <v>#NAME?</v>
      </c>
      <c r="I146" s="1">
        <f t="shared" ca="1" si="12"/>
        <v>4</v>
      </c>
      <c r="J146" s="1">
        <f t="shared" ca="1" si="17"/>
        <v>1</v>
      </c>
      <c r="K146" t="e">
        <f t="shared" ca="1" si="13"/>
        <v>#NAME?</v>
      </c>
      <c r="L146" t="e">
        <f t="shared" ca="1" si="14"/>
        <v>#NAME?</v>
      </c>
      <c r="M146">
        <f t="shared" ca="1" si="15"/>
        <v>0</v>
      </c>
      <c r="N146" t="s">
        <v>928</v>
      </c>
      <c r="O146" s="1">
        <f t="shared" si="16"/>
        <v>145</v>
      </c>
    </row>
    <row r="147" spans="1:15" x14ac:dyDescent="0.35">
      <c r="A147" s="44" t="s">
        <v>366</v>
      </c>
      <c r="B147" s="48">
        <v>146</v>
      </c>
      <c r="C147" t="e" cm="1">
        <f t="array" aca="1" ref="C147:F147" ca="1">_xlfn.TEXTSPLIT(A147," ")</f>
        <v>#NAME?</v>
      </c>
      <c r="D147" t="e">
        <f ca="1"/>
        <v>#NAME?</v>
      </c>
      <c r="E147" t="e">
        <f ca="1"/>
        <v>#NAME?</v>
      </c>
      <c r="F147" t="e">
        <f ca="1"/>
        <v>#NAME?</v>
      </c>
      <c r="I147" s="1">
        <f t="shared" ca="1" si="12"/>
        <v>4</v>
      </c>
      <c r="J147" s="1">
        <f t="shared" ca="1" si="17"/>
        <v>1</v>
      </c>
      <c r="K147" t="e">
        <f t="shared" ca="1" si="13"/>
        <v>#NAME?</v>
      </c>
      <c r="L147" t="e">
        <f t="shared" ca="1" si="14"/>
        <v>#NAME?</v>
      </c>
      <c r="M147">
        <f t="shared" ca="1" si="15"/>
        <v>0</v>
      </c>
      <c r="N147" t="s">
        <v>929</v>
      </c>
      <c r="O147" s="1">
        <f t="shared" si="16"/>
        <v>146</v>
      </c>
    </row>
    <row r="148" spans="1:15" x14ac:dyDescent="0.35">
      <c r="A148" s="42" t="s">
        <v>367</v>
      </c>
      <c r="B148" s="48">
        <v>147</v>
      </c>
      <c r="C148" t="e" cm="1">
        <f t="array" aca="1" ref="C148:F148" ca="1">_xlfn.TEXTSPLIT(A148," ")</f>
        <v>#NAME?</v>
      </c>
      <c r="D148" t="e">
        <f ca="1"/>
        <v>#NAME?</v>
      </c>
      <c r="E148" t="e">
        <f ca="1"/>
        <v>#NAME?</v>
      </c>
      <c r="F148" t="e">
        <f ca="1"/>
        <v>#NAME?</v>
      </c>
      <c r="I148" s="1">
        <f t="shared" ca="1" si="12"/>
        <v>4</v>
      </c>
      <c r="J148" s="1">
        <f t="shared" ca="1" si="17"/>
        <v>1</v>
      </c>
      <c r="K148" t="e">
        <f t="shared" ca="1" si="13"/>
        <v>#NAME?</v>
      </c>
      <c r="L148" t="e">
        <f t="shared" ca="1" si="14"/>
        <v>#NAME?</v>
      </c>
      <c r="M148">
        <f t="shared" ca="1" si="15"/>
        <v>0</v>
      </c>
      <c r="N148" t="s">
        <v>930</v>
      </c>
      <c r="O148" s="1">
        <f t="shared" si="16"/>
        <v>147</v>
      </c>
    </row>
    <row r="149" spans="1:15" x14ac:dyDescent="0.35">
      <c r="A149" s="44" t="s">
        <v>368</v>
      </c>
      <c r="B149" s="48">
        <v>148</v>
      </c>
      <c r="C149" t="s">
        <v>656</v>
      </c>
      <c r="D149" t="s">
        <v>663</v>
      </c>
      <c r="E149" t="s">
        <v>658</v>
      </c>
      <c r="F149" t="s">
        <v>659</v>
      </c>
      <c r="I149" s="1">
        <f t="shared" si="12"/>
        <v>4</v>
      </c>
      <c r="J149" s="1">
        <f t="shared" si="17"/>
        <v>1</v>
      </c>
      <c r="K149" t="str">
        <f t="shared" si="13"/>
        <v>teresa</v>
      </c>
      <c r="L149" t="str">
        <f t="shared" si="14"/>
        <v>marinovic</v>
      </c>
      <c r="M149">
        <f t="shared" ca="1" si="15"/>
        <v>0</v>
      </c>
      <c r="N149" t="s">
        <v>931</v>
      </c>
      <c r="O149" s="1">
        <f t="shared" si="16"/>
        <v>148</v>
      </c>
    </row>
    <row r="150" spans="1:15" x14ac:dyDescent="0.35">
      <c r="A150" s="42" t="s">
        <v>369</v>
      </c>
      <c r="B150" s="48">
        <v>149</v>
      </c>
      <c r="C150" t="s">
        <v>660</v>
      </c>
      <c r="D150" t="s">
        <v>664</v>
      </c>
      <c r="E150" t="s">
        <v>661</v>
      </c>
      <c r="F150" t="s">
        <v>662</v>
      </c>
      <c r="I150" s="1">
        <f t="shared" si="12"/>
        <v>4</v>
      </c>
      <c r="J150" s="1">
        <f t="shared" si="17"/>
        <v>1</v>
      </c>
      <c r="K150" t="str">
        <f t="shared" si="13"/>
        <v>tiare</v>
      </c>
      <c r="L150" t="str">
        <f t="shared" si="14"/>
        <v>aguilera</v>
      </c>
      <c r="M150">
        <f t="shared" ca="1" si="15"/>
        <v>0</v>
      </c>
      <c r="N150" t="s">
        <v>932</v>
      </c>
      <c r="O150" s="1">
        <f t="shared" si="16"/>
        <v>149</v>
      </c>
    </row>
    <row r="151" spans="1:15" x14ac:dyDescent="0.35">
      <c r="A151" s="44" t="s">
        <v>370</v>
      </c>
      <c r="B151" s="48">
        <v>150</v>
      </c>
      <c r="C151" t="e" cm="1">
        <f t="array" aca="1" ref="C151:F151" ca="1">_xlfn.TEXTSPLIT(A151," ")</f>
        <v>#NAME?</v>
      </c>
      <c r="D151" t="e">
        <f ca="1"/>
        <v>#NAME?</v>
      </c>
      <c r="E151" t="e">
        <f ca="1"/>
        <v>#NAME?</v>
      </c>
      <c r="F151" t="e">
        <f ca="1"/>
        <v>#NAME?</v>
      </c>
      <c r="I151" s="1">
        <f t="shared" ca="1" si="12"/>
        <v>4</v>
      </c>
      <c r="J151" s="1">
        <f t="shared" ca="1" si="17"/>
        <v>1</v>
      </c>
      <c r="K151" t="e">
        <f t="shared" ca="1" si="13"/>
        <v>#NAME?</v>
      </c>
      <c r="L151" t="e">
        <f t="shared" ca="1" si="14"/>
        <v>#NAME?</v>
      </c>
      <c r="M151">
        <f t="shared" ca="1" si="15"/>
        <v>0</v>
      </c>
      <c r="N151" t="s">
        <v>933</v>
      </c>
      <c r="O151" s="1">
        <f t="shared" si="16"/>
        <v>150</v>
      </c>
    </row>
    <row r="152" spans="1:15" x14ac:dyDescent="0.35">
      <c r="A152" s="42" t="s">
        <v>371</v>
      </c>
      <c r="B152" s="48">
        <v>151</v>
      </c>
      <c r="C152" t="e" cm="1">
        <f t="array" aca="1" ref="C152:F152" ca="1">_xlfn.TEXTSPLIT(A152," ")</f>
        <v>#NAME?</v>
      </c>
      <c r="D152" t="e">
        <f ca="1"/>
        <v>#NAME?</v>
      </c>
      <c r="E152" t="e">
        <f ca="1"/>
        <v>#NAME?</v>
      </c>
      <c r="F152" t="e">
        <f ca="1"/>
        <v>#NAME?</v>
      </c>
      <c r="I152" s="1">
        <f t="shared" ca="1" si="12"/>
        <v>4</v>
      </c>
      <c r="J152" s="1">
        <f t="shared" ca="1" si="17"/>
        <v>1</v>
      </c>
      <c r="K152" t="e">
        <f t="shared" ca="1" si="13"/>
        <v>#NAME?</v>
      </c>
      <c r="L152" t="e">
        <f t="shared" ca="1" si="14"/>
        <v>#NAME?</v>
      </c>
      <c r="M152">
        <f t="shared" ca="1" si="15"/>
        <v>0</v>
      </c>
      <c r="N152" t="s">
        <v>934</v>
      </c>
      <c r="O152" s="1">
        <f t="shared" si="16"/>
        <v>151</v>
      </c>
    </row>
    <row r="153" spans="1:15" x14ac:dyDescent="0.35">
      <c r="A153" s="44" t="s">
        <v>372</v>
      </c>
      <c r="B153" s="48">
        <v>152</v>
      </c>
      <c r="C153" t="e" cm="1">
        <f t="array" aca="1" ref="C153:F153" ca="1">_xlfn.TEXTSPLIT(A153," ")</f>
        <v>#NAME?</v>
      </c>
      <c r="D153" t="e">
        <f ca="1"/>
        <v>#NAME?</v>
      </c>
      <c r="E153" t="e">
        <f ca="1"/>
        <v>#NAME?</v>
      </c>
      <c r="F153" t="e">
        <f ca="1"/>
        <v>#NAME?</v>
      </c>
      <c r="I153" s="1">
        <f t="shared" ca="1" si="12"/>
        <v>4</v>
      </c>
      <c r="J153" s="1">
        <f t="shared" ca="1" si="17"/>
        <v>1</v>
      </c>
      <c r="K153" t="e">
        <f t="shared" ca="1" si="13"/>
        <v>#NAME?</v>
      </c>
      <c r="L153" t="e">
        <f t="shared" ca="1" si="14"/>
        <v>#NAME?</v>
      </c>
      <c r="M153">
        <f t="shared" ca="1" si="15"/>
        <v>0</v>
      </c>
      <c r="N153" t="s">
        <v>935</v>
      </c>
      <c r="O153" s="1">
        <f t="shared" si="16"/>
        <v>152</v>
      </c>
    </row>
    <row r="154" spans="1:15" x14ac:dyDescent="0.35">
      <c r="A154" s="42" t="s">
        <v>373</v>
      </c>
      <c r="B154" s="48">
        <v>153</v>
      </c>
      <c r="C154" t="e" cm="1">
        <f t="array" aca="1" ref="C154:F154" ca="1">_xlfn.TEXTSPLIT(A154," ")</f>
        <v>#NAME?</v>
      </c>
      <c r="D154" t="e">
        <f ca="1"/>
        <v>#NAME?</v>
      </c>
      <c r="E154" t="e">
        <f ca="1"/>
        <v>#NAME?</v>
      </c>
      <c r="F154" t="e">
        <f ca="1"/>
        <v>#NAME?</v>
      </c>
      <c r="I154" s="1">
        <f t="shared" ca="1" si="12"/>
        <v>4</v>
      </c>
      <c r="J154" s="1">
        <f t="shared" ca="1" si="17"/>
        <v>1</v>
      </c>
      <c r="K154" t="e">
        <f t="shared" ca="1" si="13"/>
        <v>#NAME?</v>
      </c>
      <c r="L154" t="e">
        <f t="shared" ca="1" si="14"/>
        <v>#NAME?</v>
      </c>
      <c r="M154">
        <f t="shared" ca="1" si="15"/>
        <v>0</v>
      </c>
      <c r="N154" t="s">
        <v>936</v>
      </c>
      <c r="O154" s="1">
        <f t="shared" si="16"/>
        <v>153</v>
      </c>
    </row>
    <row r="155" spans="1:15" x14ac:dyDescent="0.35">
      <c r="A155" s="44" t="s">
        <v>374</v>
      </c>
      <c r="B155" s="48">
        <v>154</v>
      </c>
      <c r="C155" t="e" cm="1">
        <f t="array" aca="1" ref="C155:F155" ca="1">_xlfn.TEXTSPLIT(A155," ")</f>
        <v>#NAME?</v>
      </c>
      <c r="D155" t="e">
        <f ca="1"/>
        <v>#NAME?</v>
      </c>
      <c r="E155" t="e">
        <f ca="1"/>
        <v>#NAME?</v>
      </c>
      <c r="F155" t="e">
        <f ca="1"/>
        <v>#NAME?</v>
      </c>
      <c r="I155" s="1">
        <f t="shared" ca="1" si="12"/>
        <v>4</v>
      </c>
      <c r="J155" s="1">
        <f t="shared" ca="1" si="17"/>
        <v>1</v>
      </c>
      <c r="K155" t="e">
        <f t="shared" ca="1" si="13"/>
        <v>#NAME?</v>
      </c>
      <c r="L155" t="e">
        <f t="shared" ca="1" si="14"/>
        <v>#NAME?</v>
      </c>
      <c r="M155">
        <f t="shared" ca="1" si="15"/>
        <v>0</v>
      </c>
      <c r="N155" t="s">
        <v>937</v>
      </c>
      <c r="O155" s="1">
        <f t="shared" si="16"/>
        <v>154</v>
      </c>
    </row>
    <row r="156" spans="1:15" x14ac:dyDescent="0.35">
      <c r="A156" s="45" t="s">
        <v>375</v>
      </c>
      <c r="B156" s="48">
        <v>155</v>
      </c>
      <c r="C156" t="e" cm="1">
        <f t="array" aca="1" ref="C156:F156" ca="1">_xlfn.TEXTSPLIT(A156," ")</f>
        <v>#NAME?</v>
      </c>
      <c r="D156" t="e">
        <f ca="1"/>
        <v>#NAME?</v>
      </c>
      <c r="E156" t="e">
        <f ca="1"/>
        <v>#NAME?</v>
      </c>
      <c r="F156" t="e">
        <f ca="1"/>
        <v>#NAME?</v>
      </c>
      <c r="I156" s="1">
        <f t="shared" ca="1" si="12"/>
        <v>4</v>
      </c>
      <c r="J156" s="1">
        <f t="shared" ca="1" si="17"/>
        <v>1</v>
      </c>
      <c r="K156" t="e">
        <f t="shared" ca="1" si="13"/>
        <v>#NAME?</v>
      </c>
      <c r="L156" t="e">
        <f t="shared" ca="1" si="14"/>
        <v>#NAME?</v>
      </c>
      <c r="M156">
        <f t="shared" ca="1" si="15"/>
        <v>0</v>
      </c>
      <c r="N156" t="s">
        <v>938</v>
      </c>
      <c r="O156" s="1">
        <f t="shared" si="16"/>
        <v>155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6"/>
  <sheetViews>
    <sheetView topLeftCell="A106" workbookViewId="0">
      <selection activeCell="F8" sqref="F8"/>
    </sheetView>
  </sheetViews>
  <sheetFormatPr defaultRowHeight="15.5" x14ac:dyDescent="0.35"/>
  <cols>
    <col min="1" max="1" width="19.33203125" bestFit="1" customWidth="1"/>
  </cols>
  <sheetData>
    <row r="1" spans="1:3" x14ac:dyDescent="0.35">
      <c r="A1" s="1" t="s">
        <v>1646</v>
      </c>
      <c r="B1" s="1" t="s">
        <v>606</v>
      </c>
      <c r="C1" s="1" t="s">
        <v>1642</v>
      </c>
    </row>
    <row r="2" spans="1:3" x14ac:dyDescent="0.35">
      <c r="A2" s="1" t="s">
        <v>786</v>
      </c>
      <c r="B2" s="1">
        <v>2</v>
      </c>
      <c r="C2" s="1">
        <v>0</v>
      </c>
    </row>
    <row r="3" spans="1:3" x14ac:dyDescent="0.35">
      <c r="A3" s="1" t="s">
        <v>789</v>
      </c>
      <c r="B3" s="1">
        <v>5</v>
      </c>
      <c r="C3" s="1">
        <v>0</v>
      </c>
    </row>
    <row r="4" spans="1:3" x14ac:dyDescent="0.35">
      <c r="A4" s="1" t="s">
        <v>790</v>
      </c>
      <c r="B4" s="1">
        <v>6</v>
      </c>
      <c r="C4" s="1">
        <v>0</v>
      </c>
    </row>
    <row r="5" spans="1:3" x14ac:dyDescent="0.35">
      <c r="A5" s="1" t="s">
        <v>791</v>
      </c>
      <c r="B5" s="1">
        <v>7</v>
      </c>
      <c r="C5" s="1">
        <v>0</v>
      </c>
    </row>
    <row r="6" spans="1:3" x14ac:dyDescent="0.35">
      <c r="A6" s="1" t="s">
        <v>793</v>
      </c>
      <c r="B6" s="1">
        <v>9</v>
      </c>
      <c r="C6" s="1">
        <v>0</v>
      </c>
    </row>
    <row r="7" spans="1:3" x14ac:dyDescent="0.35">
      <c r="A7" s="1" t="s">
        <v>795</v>
      </c>
      <c r="B7" s="1">
        <v>11</v>
      </c>
      <c r="C7" s="1">
        <v>0</v>
      </c>
    </row>
    <row r="8" spans="1:3" x14ac:dyDescent="0.35">
      <c r="A8" s="1" t="s">
        <v>801</v>
      </c>
      <c r="B8" s="1">
        <v>17</v>
      </c>
      <c r="C8" s="1">
        <v>0</v>
      </c>
    </row>
    <row r="9" spans="1:3" x14ac:dyDescent="0.35">
      <c r="A9" s="1" t="s">
        <v>803</v>
      </c>
      <c r="B9" s="1">
        <v>19</v>
      </c>
      <c r="C9" s="1">
        <v>0</v>
      </c>
    </row>
    <row r="10" spans="1:3" x14ac:dyDescent="0.35">
      <c r="A10" s="1" t="s">
        <v>807</v>
      </c>
      <c r="B10" s="1">
        <v>23</v>
      </c>
      <c r="C10" s="1">
        <v>0</v>
      </c>
    </row>
    <row r="11" spans="1:3" x14ac:dyDescent="0.35">
      <c r="A11" s="1" t="s">
        <v>811</v>
      </c>
      <c r="B11" s="1">
        <v>27</v>
      </c>
      <c r="C11" s="1">
        <v>0</v>
      </c>
    </row>
    <row r="12" spans="1:3" x14ac:dyDescent="0.35">
      <c r="A12" s="1" t="s">
        <v>815</v>
      </c>
      <c r="B12" s="1">
        <v>31</v>
      </c>
      <c r="C12" s="1">
        <v>0</v>
      </c>
    </row>
    <row r="13" spans="1:3" x14ac:dyDescent="0.35">
      <c r="A13" s="1" t="s">
        <v>820</v>
      </c>
      <c r="B13" s="1">
        <v>36</v>
      </c>
      <c r="C13" s="1">
        <v>0</v>
      </c>
    </row>
    <row r="14" spans="1:3" x14ac:dyDescent="0.35">
      <c r="A14" s="1" t="s">
        <v>824</v>
      </c>
      <c r="B14" s="1">
        <v>40</v>
      </c>
      <c r="C14" s="1">
        <v>0</v>
      </c>
    </row>
    <row r="15" spans="1:3" x14ac:dyDescent="0.35">
      <c r="A15" s="1" t="s">
        <v>829</v>
      </c>
      <c r="B15" s="1">
        <v>45</v>
      </c>
      <c r="C15" s="1">
        <v>0</v>
      </c>
    </row>
    <row r="16" spans="1:3" x14ac:dyDescent="0.35">
      <c r="A16" s="1" t="s">
        <v>832</v>
      </c>
      <c r="B16" s="1">
        <v>48</v>
      </c>
      <c r="C16" s="1">
        <v>0</v>
      </c>
    </row>
    <row r="17" spans="1:3" x14ac:dyDescent="0.35">
      <c r="A17" s="1" t="s">
        <v>833</v>
      </c>
      <c r="B17" s="1">
        <v>49</v>
      </c>
      <c r="C17" s="1">
        <v>0</v>
      </c>
    </row>
    <row r="18" spans="1:3" x14ac:dyDescent="0.35">
      <c r="A18" s="1" t="s">
        <v>834</v>
      </c>
      <c r="B18" s="1">
        <v>50</v>
      </c>
      <c r="C18" s="1">
        <v>0</v>
      </c>
    </row>
    <row r="19" spans="1:3" x14ac:dyDescent="0.35">
      <c r="A19" s="1" t="s">
        <v>835</v>
      </c>
      <c r="B19" s="1">
        <v>51</v>
      </c>
      <c r="C19" s="1">
        <v>0</v>
      </c>
    </row>
    <row r="20" spans="1:3" x14ac:dyDescent="0.35">
      <c r="A20" s="1" t="s">
        <v>839</v>
      </c>
      <c r="B20" s="1">
        <v>55</v>
      </c>
      <c r="C20" s="1">
        <v>0</v>
      </c>
    </row>
    <row r="21" spans="1:3" x14ac:dyDescent="0.35">
      <c r="A21" s="1" t="s">
        <v>841</v>
      </c>
      <c r="B21" s="1">
        <v>57</v>
      </c>
      <c r="C21" s="1">
        <v>0</v>
      </c>
    </row>
    <row r="22" spans="1:3" x14ac:dyDescent="0.35">
      <c r="A22" s="1" t="s">
        <v>844</v>
      </c>
      <c r="B22" s="1">
        <v>60</v>
      </c>
      <c r="C22" s="1">
        <v>0</v>
      </c>
    </row>
    <row r="23" spans="1:3" x14ac:dyDescent="0.35">
      <c r="A23" s="1" t="s">
        <v>843</v>
      </c>
      <c r="B23" s="1">
        <v>59</v>
      </c>
      <c r="C23" s="1">
        <v>0</v>
      </c>
    </row>
    <row r="24" spans="1:3" x14ac:dyDescent="0.35">
      <c r="A24" s="1" t="s">
        <v>845</v>
      </c>
      <c r="B24" s="1">
        <v>61</v>
      </c>
      <c r="C24" s="1">
        <v>0</v>
      </c>
    </row>
    <row r="25" spans="1:3" x14ac:dyDescent="0.35">
      <c r="A25" s="1" t="s">
        <v>847</v>
      </c>
      <c r="B25" s="1">
        <v>63</v>
      </c>
      <c r="C25" s="1">
        <v>0</v>
      </c>
    </row>
    <row r="26" spans="1:3" x14ac:dyDescent="0.35">
      <c r="A26" s="1" t="s">
        <v>850</v>
      </c>
      <c r="B26" s="1">
        <v>66</v>
      </c>
      <c r="C26" s="1">
        <v>0</v>
      </c>
    </row>
    <row r="27" spans="1:3" x14ac:dyDescent="0.35">
      <c r="A27" s="1" t="s">
        <v>851</v>
      </c>
      <c r="B27" s="1">
        <v>67</v>
      </c>
      <c r="C27" s="1">
        <v>0</v>
      </c>
    </row>
    <row r="28" spans="1:3" x14ac:dyDescent="0.35">
      <c r="A28" s="1" t="s">
        <v>852</v>
      </c>
      <c r="B28" s="1">
        <v>68</v>
      </c>
      <c r="C28" s="1">
        <v>0</v>
      </c>
    </row>
    <row r="29" spans="1:3" x14ac:dyDescent="0.35">
      <c r="A29" s="1" t="s">
        <v>859</v>
      </c>
      <c r="B29" s="1">
        <v>75</v>
      </c>
      <c r="C29" s="1">
        <v>0</v>
      </c>
    </row>
    <row r="30" spans="1:3" x14ac:dyDescent="0.35">
      <c r="A30" s="1" t="s">
        <v>860</v>
      </c>
      <c r="B30" s="1">
        <v>76</v>
      </c>
      <c r="C30" s="1">
        <v>0</v>
      </c>
    </row>
    <row r="31" spans="1:3" x14ac:dyDescent="0.35">
      <c r="A31" s="1" t="s">
        <v>861</v>
      </c>
      <c r="B31" s="1">
        <v>77</v>
      </c>
      <c r="C31" s="1">
        <v>0</v>
      </c>
    </row>
    <row r="32" spans="1:3" x14ac:dyDescent="0.35">
      <c r="A32" s="1" t="s">
        <v>862</v>
      </c>
      <c r="B32" s="1">
        <v>78</v>
      </c>
      <c r="C32" s="1">
        <v>0</v>
      </c>
    </row>
    <row r="33" spans="1:3" x14ac:dyDescent="0.35">
      <c r="A33" s="1" t="s">
        <v>865</v>
      </c>
      <c r="B33" s="1">
        <v>81</v>
      </c>
      <c r="C33" s="1">
        <v>0</v>
      </c>
    </row>
    <row r="34" spans="1:3" x14ac:dyDescent="0.35">
      <c r="A34" s="1" t="s">
        <v>870</v>
      </c>
      <c r="B34" s="1">
        <v>86</v>
      </c>
      <c r="C34" s="1">
        <v>0</v>
      </c>
    </row>
    <row r="35" spans="1:3" x14ac:dyDescent="0.35">
      <c r="A35" s="1" t="s">
        <v>874</v>
      </c>
      <c r="B35" s="1">
        <v>90</v>
      </c>
      <c r="C35" s="1">
        <v>0</v>
      </c>
    </row>
    <row r="36" spans="1:3" x14ac:dyDescent="0.35">
      <c r="A36" s="1" t="s">
        <v>875</v>
      </c>
      <c r="B36" s="1">
        <v>91</v>
      </c>
      <c r="C36" s="1">
        <v>0</v>
      </c>
    </row>
    <row r="37" spans="1:3" x14ac:dyDescent="0.35">
      <c r="A37" s="1" t="s">
        <v>876</v>
      </c>
      <c r="B37" s="1">
        <v>92</v>
      </c>
      <c r="C37" s="1">
        <v>0</v>
      </c>
    </row>
    <row r="38" spans="1:3" x14ac:dyDescent="0.35">
      <c r="A38" s="1" t="s">
        <v>925</v>
      </c>
      <c r="B38" s="1">
        <v>142</v>
      </c>
      <c r="C38" s="1">
        <v>0</v>
      </c>
    </row>
    <row r="39" spans="1:3" x14ac:dyDescent="0.35">
      <c r="A39" s="1" t="s">
        <v>878</v>
      </c>
      <c r="B39" s="1">
        <v>94</v>
      </c>
      <c r="C39" s="1">
        <v>0</v>
      </c>
    </row>
    <row r="40" spans="1:3" x14ac:dyDescent="0.35">
      <c r="A40" s="1" t="s">
        <v>884</v>
      </c>
      <c r="B40" s="1">
        <v>100</v>
      </c>
      <c r="C40" s="1">
        <v>0</v>
      </c>
    </row>
    <row r="41" spans="1:3" x14ac:dyDescent="0.35">
      <c r="A41" s="1" t="s">
        <v>887</v>
      </c>
      <c r="B41" s="1">
        <v>103</v>
      </c>
      <c r="C41" s="1">
        <v>0</v>
      </c>
    </row>
    <row r="42" spans="1:3" x14ac:dyDescent="0.35">
      <c r="A42" s="1" t="s">
        <v>892</v>
      </c>
      <c r="B42" s="1">
        <v>108</v>
      </c>
      <c r="C42" s="1">
        <v>0</v>
      </c>
    </row>
    <row r="43" spans="1:3" x14ac:dyDescent="0.35">
      <c r="A43" s="1" t="s">
        <v>896</v>
      </c>
      <c r="B43" s="1">
        <v>112</v>
      </c>
      <c r="C43" s="1">
        <v>0</v>
      </c>
    </row>
    <row r="44" spans="1:3" x14ac:dyDescent="0.35">
      <c r="A44" s="1" t="s">
        <v>900</v>
      </c>
      <c r="B44" s="1">
        <v>116</v>
      </c>
      <c r="C44" s="1">
        <v>0</v>
      </c>
    </row>
    <row r="45" spans="1:3" x14ac:dyDescent="0.35">
      <c r="A45" s="1" t="s">
        <v>902</v>
      </c>
      <c r="B45" s="1">
        <v>118</v>
      </c>
      <c r="C45" s="1">
        <v>0</v>
      </c>
    </row>
    <row r="46" spans="1:3" x14ac:dyDescent="0.35">
      <c r="A46" s="1" t="s">
        <v>903</v>
      </c>
      <c r="B46" s="1">
        <v>119</v>
      </c>
      <c r="C46" s="1">
        <v>0</v>
      </c>
    </row>
    <row r="47" spans="1:3" x14ac:dyDescent="0.35">
      <c r="A47" s="1" t="s">
        <v>904</v>
      </c>
      <c r="B47" s="1">
        <v>120</v>
      </c>
      <c r="C47" s="1">
        <v>0</v>
      </c>
    </row>
    <row r="48" spans="1:3" x14ac:dyDescent="0.35">
      <c r="A48" s="1" t="s">
        <v>909</v>
      </c>
      <c r="B48" s="1">
        <v>125</v>
      </c>
      <c r="C48" s="1">
        <v>0</v>
      </c>
    </row>
    <row r="49" spans="1:3" x14ac:dyDescent="0.35">
      <c r="A49" s="1" t="s">
        <v>912</v>
      </c>
      <c r="B49" s="1">
        <v>128</v>
      </c>
      <c r="C49" s="1">
        <v>0</v>
      </c>
    </row>
    <row r="50" spans="1:3" x14ac:dyDescent="0.35">
      <c r="A50" s="1" t="s">
        <v>923</v>
      </c>
      <c r="B50" s="1">
        <v>139</v>
      </c>
      <c r="C50" s="1">
        <v>0</v>
      </c>
    </row>
    <row r="51" spans="1:3" x14ac:dyDescent="0.35">
      <c r="A51" s="1" t="s">
        <v>939</v>
      </c>
      <c r="B51" s="1">
        <v>140</v>
      </c>
      <c r="C51" s="1">
        <v>0</v>
      </c>
    </row>
    <row r="52" spans="1:3" x14ac:dyDescent="0.35">
      <c r="A52" s="1" t="s">
        <v>924</v>
      </c>
      <c r="B52" s="1">
        <v>141</v>
      </c>
      <c r="C52" s="1">
        <v>0</v>
      </c>
    </row>
    <row r="53" spans="1:3" x14ac:dyDescent="0.35">
      <c r="A53" s="1" t="s">
        <v>928</v>
      </c>
      <c r="B53" s="1">
        <v>145</v>
      </c>
      <c r="C53" s="1">
        <v>0</v>
      </c>
    </row>
    <row r="54" spans="1:3" x14ac:dyDescent="0.35">
      <c r="A54" s="1" t="s">
        <v>932</v>
      </c>
      <c r="B54" s="1">
        <v>149</v>
      </c>
      <c r="C54" s="1">
        <v>0</v>
      </c>
    </row>
    <row r="55" spans="1:3" x14ac:dyDescent="0.35">
      <c r="A55" s="1" t="s">
        <v>936</v>
      </c>
      <c r="B55" s="1">
        <v>153</v>
      </c>
      <c r="C55" s="1">
        <v>0</v>
      </c>
    </row>
    <row r="56" spans="1:3" x14ac:dyDescent="0.35">
      <c r="A56" s="1" t="s">
        <v>937</v>
      </c>
      <c r="B56" s="1">
        <v>154</v>
      </c>
      <c r="C56" s="1">
        <v>0</v>
      </c>
    </row>
    <row r="57" spans="1:3" x14ac:dyDescent="0.35">
      <c r="A57" s="1" t="s">
        <v>785</v>
      </c>
      <c r="B57" s="1">
        <v>1</v>
      </c>
      <c r="C57" s="1">
        <v>1</v>
      </c>
    </row>
    <row r="58" spans="1:3" x14ac:dyDescent="0.35">
      <c r="A58" s="1" t="s">
        <v>787</v>
      </c>
      <c r="B58" s="1">
        <v>3</v>
      </c>
      <c r="C58" s="1">
        <v>1</v>
      </c>
    </row>
    <row r="59" spans="1:3" x14ac:dyDescent="0.35">
      <c r="A59" s="1" t="s">
        <v>788</v>
      </c>
      <c r="B59" s="1">
        <v>4</v>
      </c>
      <c r="C59" s="1">
        <v>1</v>
      </c>
    </row>
    <row r="60" spans="1:3" x14ac:dyDescent="0.35">
      <c r="A60" s="1" t="s">
        <v>792</v>
      </c>
      <c r="B60" s="1">
        <v>8</v>
      </c>
      <c r="C60" s="1">
        <v>1</v>
      </c>
    </row>
    <row r="61" spans="1:3" x14ac:dyDescent="0.35">
      <c r="A61" s="1" t="s">
        <v>797</v>
      </c>
      <c r="B61" s="1">
        <v>13</v>
      </c>
      <c r="C61" s="1">
        <v>1</v>
      </c>
    </row>
    <row r="62" spans="1:3" x14ac:dyDescent="0.35">
      <c r="A62" s="1" t="s">
        <v>798</v>
      </c>
      <c r="B62" s="1">
        <v>14</v>
      </c>
      <c r="C62" s="1">
        <v>1</v>
      </c>
    </row>
    <row r="63" spans="1:3" x14ac:dyDescent="0.35">
      <c r="A63" s="1" t="s">
        <v>799</v>
      </c>
      <c r="B63" s="1">
        <v>15</v>
      </c>
      <c r="C63" s="1">
        <v>1</v>
      </c>
    </row>
    <row r="64" spans="1:3" x14ac:dyDescent="0.35">
      <c r="A64" s="1" t="s">
        <v>802</v>
      </c>
      <c r="B64" s="1">
        <v>18</v>
      </c>
      <c r="C64" s="1">
        <v>1</v>
      </c>
    </row>
    <row r="65" spans="1:3" x14ac:dyDescent="0.35">
      <c r="A65" s="1" t="s">
        <v>804</v>
      </c>
      <c r="B65" s="1">
        <v>20</v>
      </c>
      <c r="C65" s="1">
        <v>1</v>
      </c>
    </row>
    <row r="66" spans="1:3" x14ac:dyDescent="0.35">
      <c r="A66" s="1" t="s">
        <v>805</v>
      </c>
      <c r="B66" s="1">
        <v>21</v>
      </c>
      <c r="C66" s="1">
        <v>1</v>
      </c>
    </row>
    <row r="67" spans="1:3" x14ac:dyDescent="0.35">
      <c r="A67" s="1" t="s">
        <v>806</v>
      </c>
      <c r="B67" s="1">
        <v>22</v>
      </c>
      <c r="C67" s="1">
        <v>1</v>
      </c>
    </row>
    <row r="68" spans="1:3" x14ac:dyDescent="0.35">
      <c r="A68" s="1" t="s">
        <v>808</v>
      </c>
      <c r="B68" s="1">
        <v>24</v>
      </c>
      <c r="C68" s="1">
        <v>1</v>
      </c>
    </row>
    <row r="69" spans="1:3" x14ac:dyDescent="0.35">
      <c r="A69" s="1" t="s">
        <v>812</v>
      </c>
      <c r="B69" s="1">
        <v>28</v>
      </c>
      <c r="C69" s="1">
        <v>1</v>
      </c>
    </row>
    <row r="70" spans="1:3" x14ac:dyDescent="0.35">
      <c r="A70" s="1" t="s">
        <v>817</v>
      </c>
      <c r="B70" s="1">
        <v>33</v>
      </c>
      <c r="C70" s="1">
        <v>1</v>
      </c>
    </row>
    <row r="71" spans="1:3" x14ac:dyDescent="0.35">
      <c r="A71" s="1" t="s">
        <v>819</v>
      </c>
      <c r="B71" s="1">
        <v>35</v>
      </c>
      <c r="C71" s="1">
        <v>1</v>
      </c>
    </row>
    <row r="72" spans="1:3" x14ac:dyDescent="0.35">
      <c r="A72" s="1" t="s">
        <v>825</v>
      </c>
      <c r="B72" s="1">
        <v>41</v>
      </c>
      <c r="C72" s="1">
        <v>1</v>
      </c>
    </row>
    <row r="73" spans="1:3" x14ac:dyDescent="0.35">
      <c r="A73" s="1" t="s">
        <v>816</v>
      </c>
      <c r="B73" s="1">
        <v>32</v>
      </c>
      <c r="C73" s="1">
        <v>1</v>
      </c>
    </row>
    <row r="74" spans="1:3" x14ac:dyDescent="0.35">
      <c r="A74" s="1" t="s">
        <v>826</v>
      </c>
      <c r="B74" s="1">
        <v>42</v>
      </c>
      <c r="C74" s="1">
        <v>1</v>
      </c>
    </row>
    <row r="75" spans="1:3" x14ac:dyDescent="0.35">
      <c r="A75" s="1" t="s">
        <v>827</v>
      </c>
      <c r="B75" s="1">
        <v>43</v>
      </c>
      <c r="C75" s="1">
        <v>1</v>
      </c>
    </row>
    <row r="76" spans="1:3" x14ac:dyDescent="0.35">
      <c r="A76" s="1" t="s">
        <v>828</v>
      </c>
      <c r="B76" s="1">
        <v>44</v>
      </c>
      <c r="C76" s="1">
        <v>1</v>
      </c>
    </row>
    <row r="77" spans="1:3" x14ac:dyDescent="0.35">
      <c r="A77" s="1" t="s">
        <v>840</v>
      </c>
      <c r="B77" s="1">
        <v>56</v>
      </c>
      <c r="C77" s="1">
        <v>1</v>
      </c>
    </row>
    <row r="78" spans="1:3" x14ac:dyDescent="0.35">
      <c r="A78" s="1" t="s">
        <v>842</v>
      </c>
      <c r="B78" s="1">
        <v>58</v>
      </c>
      <c r="C78" s="1">
        <v>1</v>
      </c>
    </row>
    <row r="79" spans="1:3" x14ac:dyDescent="0.35">
      <c r="A79" s="1" t="s">
        <v>854</v>
      </c>
      <c r="B79" s="1">
        <v>70</v>
      </c>
      <c r="C79" s="1">
        <v>1</v>
      </c>
    </row>
    <row r="80" spans="1:3" x14ac:dyDescent="0.35">
      <c r="A80" s="1" t="s">
        <v>863</v>
      </c>
      <c r="B80" s="1">
        <v>79</v>
      </c>
      <c r="C80" s="1">
        <v>1</v>
      </c>
    </row>
    <row r="81" spans="1:3" x14ac:dyDescent="0.35">
      <c r="A81" s="1" t="s">
        <v>864</v>
      </c>
      <c r="B81" s="1">
        <v>80</v>
      </c>
      <c r="C81" s="1">
        <v>1</v>
      </c>
    </row>
    <row r="82" spans="1:3" x14ac:dyDescent="0.35">
      <c r="A82" s="1" t="s">
        <v>866</v>
      </c>
      <c r="B82" s="1">
        <v>82</v>
      </c>
      <c r="C82" s="1">
        <v>1</v>
      </c>
    </row>
    <row r="83" spans="1:3" x14ac:dyDescent="0.35">
      <c r="A83" s="1" t="s">
        <v>867</v>
      </c>
      <c r="B83" s="1">
        <v>83</v>
      </c>
      <c r="C83" s="1">
        <v>1</v>
      </c>
    </row>
    <row r="84" spans="1:3" x14ac:dyDescent="0.35">
      <c r="A84" s="1" t="s">
        <v>869</v>
      </c>
      <c r="B84" s="1">
        <v>85</v>
      </c>
      <c r="C84" s="1">
        <v>1</v>
      </c>
    </row>
    <row r="85" spans="1:3" x14ac:dyDescent="0.35">
      <c r="A85" s="1" t="s">
        <v>868</v>
      </c>
      <c r="B85" s="1">
        <v>84</v>
      </c>
      <c r="C85" s="1">
        <v>1</v>
      </c>
    </row>
    <row r="86" spans="1:3" x14ac:dyDescent="0.35">
      <c r="A86" s="1" t="s">
        <v>873</v>
      </c>
      <c r="B86" s="1">
        <v>89</v>
      </c>
      <c r="C86" s="1">
        <v>1</v>
      </c>
    </row>
    <row r="87" spans="1:3" x14ac:dyDescent="0.35">
      <c r="A87" s="1" t="s">
        <v>881</v>
      </c>
      <c r="B87" s="1">
        <v>97</v>
      </c>
      <c r="C87" s="1">
        <v>1</v>
      </c>
    </row>
    <row r="88" spans="1:3" x14ac:dyDescent="0.35">
      <c r="A88" s="1" t="s">
        <v>883</v>
      </c>
      <c r="B88" s="1">
        <v>99</v>
      </c>
      <c r="C88" s="1">
        <v>1</v>
      </c>
    </row>
    <row r="89" spans="1:3" x14ac:dyDescent="0.35">
      <c r="A89" s="1" t="s">
        <v>885</v>
      </c>
      <c r="B89" s="1">
        <v>101</v>
      </c>
      <c r="C89" s="1">
        <v>1</v>
      </c>
    </row>
    <row r="90" spans="1:3" x14ac:dyDescent="0.35">
      <c r="A90" s="1" t="s">
        <v>886</v>
      </c>
      <c r="B90" s="1">
        <v>102</v>
      </c>
      <c r="C90" s="1">
        <v>1</v>
      </c>
    </row>
    <row r="91" spans="1:3" x14ac:dyDescent="0.35">
      <c r="A91" s="1" t="s">
        <v>890</v>
      </c>
      <c r="B91" s="1">
        <v>106</v>
      </c>
      <c r="C91" s="1">
        <v>1</v>
      </c>
    </row>
    <row r="92" spans="1:3" x14ac:dyDescent="0.35">
      <c r="A92" s="1" t="s">
        <v>891</v>
      </c>
      <c r="B92" s="1">
        <v>107</v>
      </c>
      <c r="C92" s="1">
        <v>1</v>
      </c>
    </row>
    <row r="93" spans="1:3" x14ac:dyDescent="0.35">
      <c r="A93" s="1" t="s">
        <v>894</v>
      </c>
      <c r="B93" s="1">
        <v>110</v>
      </c>
      <c r="C93" s="1">
        <v>1</v>
      </c>
    </row>
    <row r="94" spans="1:3" x14ac:dyDescent="0.35">
      <c r="A94" s="1" t="s">
        <v>897</v>
      </c>
      <c r="B94" s="1">
        <v>113</v>
      </c>
      <c r="C94" s="1">
        <v>1</v>
      </c>
    </row>
    <row r="95" spans="1:3" x14ac:dyDescent="0.35">
      <c r="A95" s="1" t="s">
        <v>910</v>
      </c>
      <c r="B95" s="1">
        <v>126</v>
      </c>
      <c r="C95" s="1">
        <v>1</v>
      </c>
    </row>
    <row r="96" spans="1:3" x14ac:dyDescent="0.35">
      <c r="A96" s="1" t="s">
        <v>914</v>
      </c>
      <c r="B96" s="1">
        <v>130</v>
      </c>
      <c r="C96" s="1">
        <v>1</v>
      </c>
    </row>
    <row r="97" spans="1:3" x14ac:dyDescent="0.35">
      <c r="A97" s="1" t="s">
        <v>916</v>
      </c>
      <c r="B97" s="1">
        <v>132</v>
      </c>
      <c r="C97" s="1">
        <v>1</v>
      </c>
    </row>
    <row r="98" spans="1:3" x14ac:dyDescent="0.35">
      <c r="A98" s="1" t="s">
        <v>917</v>
      </c>
      <c r="B98" s="1">
        <v>133</v>
      </c>
      <c r="C98" s="1">
        <v>1</v>
      </c>
    </row>
    <row r="99" spans="1:3" x14ac:dyDescent="0.35">
      <c r="A99" s="1" t="s">
        <v>919</v>
      </c>
      <c r="B99" s="1">
        <v>135</v>
      </c>
      <c r="C99" s="1">
        <v>1</v>
      </c>
    </row>
    <row r="100" spans="1:3" x14ac:dyDescent="0.35">
      <c r="A100" s="1" t="s">
        <v>921</v>
      </c>
      <c r="B100" s="1">
        <v>137</v>
      </c>
      <c r="C100" s="1">
        <v>1</v>
      </c>
    </row>
    <row r="101" spans="1:3" x14ac:dyDescent="0.35">
      <c r="A101" s="1" t="s">
        <v>927</v>
      </c>
      <c r="B101" s="1">
        <v>144</v>
      </c>
      <c r="C101" s="1">
        <v>1</v>
      </c>
    </row>
    <row r="102" spans="1:3" x14ac:dyDescent="0.35">
      <c r="A102" s="1" t="s">
        <v>929</v>
      </c>
      <c r="B102" s="1">
        <v>146</v>
      </c>
      <c r="C102" s="1">
        <v>1</v>
      </c>
    </row>
    <row r="103" spans="1:3" x14ac:dyDescent="0.35">
      <c r="A103" s="1" t="s">
        <v>931</v>
      </c>
      <c r="B103" s="1">
        <v>148</v>
      </c>
      <c r="C103" s="1">
        <v>1</v>
      </c>
    </row>
    <row r="104" spans="1:3" x14ac:dyDescent="0.35">
      <c r="A104" s="1" t="s">
        <v>935</v>
      </c>
      <c r="B104" s="1">
        <v>152</v>
      </c>
      <c r="C104" s="1">
        <v>1</v>
      </c>
    </row>
    <row r="105" spans="1:3" x14ac:dyDescent="0.35">
      <c r="A105" s="1" t="s">
        <v>794</v>
      </c>
      <c r="B105" s="1">
        <v>10</v>
      </c>
      <c r="C105" s="1">
        <v>2</v>
      </c>
    </row>
    <row r="106" spans="1:3" x14ac:dyDescent="0.35">
      <c r="A106" s="1" t="s">
        <v>796</v>
      </c>
      <c r="B106" s="1">
        <v>12</v>
      </c>
      <c r="C106" s="1">
        <v>2</v>
      </c>
    </row>
    <row r="107" spans="1:3" x14ac:dyDescent="0.35">
      <c r="A107" s="1" t="s">
        <v>880</v>
      </c>
      <c r="B107" s="1">
        <v>96</v>
      </c>
      <c r="C107" s="1">
        <v>2</v>
      </c>
    </row>
    <row r="108" spans="1:3" x14ac:dyDescent="0.35">
      <c r="A108" s="1" t="s">
        <v>800</v>
      </c>
      <c r="B108" s="1">
        <v>16</v>
      </c>
      <c r="C108" s="1">
        <v>2</v>
      </c>
    </row>
    <row r="109" spans="1:3" x14ac:dyDescent="0.35">
      <c r="A109" s="1" t="s">
        <v>810</v>
      </c>
      <c r="B109" s="1">
        <v>26</v>
      </c>
      <c r="C109" s="1">
        <v>2</v>
      </c>
    </row>
    <row r="110" spans="1:3" x14ac:dyDescent="0.35">
      <c r="A110" s="1" t="s">
        <v>813</v>
      </c>
      <c r="B110" s="1">
        <v>29</v>
      </c>
      <c r="C110" s="1">
        <v>2</v>
      </c>
    </row>
    <row r="111" spans="1:3" x14ac:dyDescent="0.35">
      <c r="A111" s="1" t="s">
        <v>814</v>
      </c>
      <c r="B111" s="1">
        <v>30</v>
      </c>
      <c r="C111" s="1">
        <v>2</v>
      </c>
    </row>
    <row r="112" spans="1:3" x14ac:dyDescent="0.35">
      <c r="A112" s="1" t="s">
        <v>822</v>
      </c>
      <c r="B112" s="1">
        <v>38</v>
      </c>
      <c r="C112" s="1">
        <v>2</v>
      </c>
    </row>
    <row r="113" spans="1:3" x14ac:dyDescent="0.35">
      <c r="A113" s="1" t="s">
        <v>821</v>
      </c>
      <c r="B113" s="1">
        <v>37</v>
      </c>
      <c r="C113" s="1">
        <v>2</v>
      </c>
    </row>
    <row r="114" spans="1:3" x14ac:dyDescent="0.35">
      <c r="A114" s="1" t="s">
        <v>823</v>
      </c>
      <c r="B114" s="1">
        <v>39</v>
      </c>
      <c r="C114" s="1">
        <v>2</v>
      </c>
    </row>
    <row r="115" spans="1:3" x14ac:dyDescent="0.35">
      <c r="A115" s="1" t="s">
        <v>831</v>
      </c>
      <c r="B115" s="1">
        <v>47</v>
      </c>
      <c r="C115" s="1">
        <v>2</v>
      </c>
    </row>
    <row r="116" spans="1:3" x14ac:dyDescent="0.35">
      <c r="A116" s="1" t="s">
        <v>830</v>
      </c>
      <c r="B116" s="1">
        <v>46</v>
      </c>
      <c r="C116" s="1">
        <v>2</v>
      </c>
    </row>
    <row r="117" spans="1:3" x14ac:dyDescent="0.35">
      <c r="A117" s="1" t="s">
        <v>836</v>
      </c>
      <c r="B117" s="1">
        <v>52</v>
      </c>
      <c r="C117" s="1">
        <v>2</v>
      </c>
    </row>
    <row r="118" spans="1:3" x14ac:dyDescent="0.35">
      <c r="A118" s="1" t="s">
        <v>837</v>
      </c>
      <c r="B118" s="1">
        <v>53</v>
      </c>
      <c r="C118" s="1">
        <v>2</v>
      </c>
    </row>
    <row r="119" spans="1:3" x14ac:dyDescent="0.35">
      <c r="A119" s="1" t="s">
        <v>838</v>
      </c>
      <c r="B119" s="1">
        <v>54</v>
      </c>
      <c r="C119" s="1">
        <v>2</v>
      </c>
    </row>
    <row r="120" spans="1:3" x14ac:dyDescent="0.35">
      <c r="A120" s="1" t="s">
        <v>846</v>
      </c>
      <c r="B120" s="1">
        <v>62</v>
      </c>
      <c r="C120" s="1">
        <v>2</v>
      </c>
    </row>
    <row r="121" spans="1:3" x14ac:dyDescent="0.35">
      <c r="A121" s="1" t="s">
        <v>848</v>
      </c>
      <c r="B121" s="1">
        <v>64</v>
      </c>
      <c r="C121" s="1">
        <v>2</v>
      </c>
    </row>
    <row r="122" spans="1:3" x14ac:dyDescent="0.35">
      <c r="A122" s="1" t="s">
        <v>849</v>
      </c>
      <c r="B122" s="1">
        <v>65</v>
      </c>
      <c r="C122" s="1">
        <v>2</v>
      </c>
    </row>
    <row r="123" spans="1:3" x14ac:dyDescent="0.35">
      <c r="A123" s="1" t="s">
        <v>853</v>
      </c>
      <c r="B123" s="1">
        <v>69</v>
      </c>
      <c r="C123" s="1">
        <v>2</v>
      </c>
    </row>
    <row r="124" spans="1:3" x14ac:dyDescent="0.35">
      <c r="A124" s="1" t="s">
        <v>856</v>
      </c>
      <c r="B124" s="1">
        <v>72</v>
      </c>
      <c r="C124" s="1">
        <v>2</v>
      </c>
    </row>
    <row r="125" spans="1:3" x14ac:dyDescent="0.35">
      <c r="A125" s="1" t="s">
        <v>855</v>
      </c>
      <c r="B125" s="1">
        <v>71</v>
      </c>
      <c r="C125" s="1">
        <v>2</v>
      </c>
    </row>
    <row r="126" spans="1:3" x14ac:dyDescent="0.35">
      <c r="A126" s="1" t="s">
        <v>857</v>
      </c>
      <c r="B126" s="1">
        <v>73</v>
      </c>
      <c r="C126" s="1">
        <v>2</v>
      </c>
    </row>
    <row r="127" spans="1:3" x14ac:dyDescent="0.35">
      <c r="A127" s="1" t="s">
        <v>858</v>
      </c>
      <c r="B127" s="1">
        <v>74</v>
      </c>
      <c r="C127" s="1">
        <v>2</v>
      </c>
    </row>
    <row r="128" spans="1:3" x14ac:dyDescent="0.35">
      <c r="A128" s="1" t="s">
        <v>871</v>
      </c>
      <c r="B128" s="1">
        <v>87</v>
      </c>
      <c r="C128" s="1">
        <v>2</v>
      </c>
    </row>
    <row r="129" spans="1:3" x14ac:dyDescent="0.35">
      <c r="A129" s="1" t="s">
        <v>872</v>
      </c>
      <c r="B129" s="1">
        <v>88</v>
      </c>
      <c r="C129" s="1">
        <v>2</v>
      </c>
    </row>
    <row r="130" spans="1:3" x14ac:dyDescent="0.35">
      <c r="A130" s="1" t="s">
        <v>877</v>
      </c>
      <c r="B130" s="1">
        <v>93</v>
      </c>
      <c r="C130" s="1">
        <v>2</v>
      </c>
    </row>
    <row r="131" spans="1:3" x14ac:dyDescent="0.35">
      <c r="A131" s="1" t="s">
        <v>879</v>
      </c>
      <c r="B131" s="1">
        <v>95</v>
      </c>
      <c r="C131" s="1">
        <v>2</v>
      </c>
    </row>
    <row r="132" spans="1:3" x14ac:dyDescent="0.35">
      <c r="A132" s="1" t="s">
        <v>882</v>
      </c>
      <c r="B132" s="1">
        <v>98</v>
      </c>
      <c r="C132" s="1">
        <v>2</v>
      </c>
    </row>
    <row r="133" spans="1:3" x14ac:dyDescent="0.35">
      <c r="A133" s="1" t="s">
        <v>888</v>
      </c>
      <c r="B133" s="1">
        <v>104</v>
      </c>
      <c r="C133" s="1">
        <v>2</v>
      </c>
    </row>
    <row r="134" spans="1:3" x14ac:dyDescent="0.35">
      <c r="A134" s="1" t="s">
        <v>818</v>
      </c>
      <c r="B134" s="1">
        <v>34</v>
      </c>
      <c r="C134" s="1">
        <v>2</v>
      </c>
    </row>
    <row r="135" spans="1:3" x14ac:dyDescent="0.35">
      <c r="A135" s="1" t="s">
        <v>889</v>
      </c>
      <c r="B135" s="1">
        <v>105</v>
      </c>
      <c r="C135" s="1">
        <v>2</v>
      </c>
    </row>
    <row r="136" spans="1:3" x14ac:dyDescent="0.35">
      <c r="A136" s="1" t="s">
        <v>893</v>
      </c>
      <c r="B136" s="1">
        <v>109</v>
      </c>
      <c r="C136" s="1">
        <v>2</v>
      </c>
    </row>
    <row r="137" spans="1:3" x14ac:dyDescent="0.35">
      <c r="A137" s="1" t="s">
        <v>898</v>
      </c>
      <c r="B137" s="1">
        <v>114</v>
      </c>
      <c r="C137" s="1">
        <v>2</v>
      </c>
    </row>
    <row r="138" spans="1:3" x14ac:dyDescent="0.35">
      <c r="A138" s="1" t="s">
        <v>809</v>
      </c>
      <c r="B138" s="1">
        <v>25</v>
      </c>
      <c r="C138" s="1">
        <v>2</v>
      </c>
    </row>
    <row r="139" spans="1:3" x14ac:dyDescent="0.35">
      <c r="A139" s="1" t="s">
        <v>899</v>
      </c>
      <c r="B139" s="1">
        <v>115</v>
      </c>
      <c r="C139" s="1">
        <v>2</v>
      </c>
    </row>
    <row r="140" spans="1:3" x14ac:dyDescent="0.35">
      <c r="A140" s="1" t="s">
        <v>901</v>
      </c>
      <c r="B140" s="1">
        <v>117</v>
      </c>
      <c r="C140" s="1">
        <v>2</v>
      </c>
    </row>
    <row r="141" spans="1:3" x14ac:dyDescent="0.35">
      <c r="A141" s="1" t="s">
        <v>905</v>
      </c>
      <c r="B141" s="1">
        <v>121</v>
      </c>
      <c r="C141" s="1">
        <v>2</v>
      </c>
    </row>
    <row r="142" spans="1:3" x14ac:dyDescent="0.35">
      <c r="A142" s="1" t="s">
        <v>906</v>
      </c>
      <c r="B142" s="1">
        <v>122</v>
      </c>
      <c r="C142" s="1">
        <v>2</v>
      </c>
    </row>
    <row r="143" spans="1:3" x14ac:dyDescent="0.35">
      <c r="A143" s="1" t="s">
        <v>907</v>
      </c>
      <c r="B143" s="1">
        <v>123</v>
      </c>
      <c r="C143" s="1">
        <v>2</v>
      </c>
    </row>
    <row r="144" spans="1:3" x14ac:dyDescent="0.35">
      <c r="A144" s="1" t="s">
        <v>908</v>
      </c>
      <c r="B144" s="1">
        <v>124</v>
      </c>
      <c r="C144" s="1">
        <v>2</v>
      </c>
    </row>
    <row r="145" spans="1:3" x14ac:dyDescent="0.35">
      <c r="A145" s="1" t="s">
        <v>911</v>
      </c>
      <c r="B145" s="1">
        <v>127</v>
      </c>
      <c r="C145" s="1">
        <v>2</v>
      </c>
    </row>
    <row r="146" spans="1:3" x14ac:dyDescent="0.35">
      <c r="A146" s="1" t="s">
        <v>913</v>
      </c>
      <c r="B146" s="1">
        <v>129</v>
      </c>
      <c r="C146" s="1">
        <v>2</v>
      </c>
    </row>
    <row r="147" spans="1:3" x14ac:dyDescent="0.35">
      <c r="A147" s="1" t="s">
        <v>895</v>
      </c>
      <c r="B147" s="1">
        <v>111</v>
      </c>
      <c r="C147" s="1">
        <v>2</v>
      </c>
    </row>
    <row r="148" spans="1:3" x14ac:dyDescent="0.35">
      <c r="A148" s="1" t="s">
        <v>915</v>
      </c>
      <c r="B148" s="1">
        <v>131</v>
      </c>
      <c r="C148" s="1">
        <v>2</v>
      </c>
    </row>
    <row r="149" spans="1:3" x14ac:dyDescent="0.35">
      <c r="A149" s="1" t="s">
        <v>918</v>
      </c>
      <c r="B149" s="1">
        <v>134</v>
      </c>
      <c r="C149" s="1">
        <v>2</v>
      </c>
    </row>
    <row r="150" spans="1:3" x14ac:dyDescent="0.35">
      <c r="A150" s="1" t="s">
        <v>920</v>
      </c>
      <c r="B150" s="1">
        <v>136</v>
      </c>
      <c r="C150" s="1">
        <v>2</v>
      </c>
    </row>
    <row r="151" spans="1:3" x14ac:dyDescent="0.35">
      <c r="A151" s="1" t="s">
        <v>922</v>
      </c>
      <c r="B151" s="1">
        <v>138</v>
      </c>
      <c r="C151" s="1">
        <v>2</v>
      </c>
    </row>
    <row r="152" spans="1:3" x14ac:dyDescent="0.35">
      <c r="A152" s="1" t="s">
        <v>926</v>
      </c>
      <c r="B152" s="1">
        <v>143</v>
      </c>
      <c r="C152" s="1">
        <v>2</v>
      </c>
    </row>
    <row r="153" spans="1:3" x14ac:dyDescent="0.35">
      <c r="A153" s="1" t="s">
        <v>930</v>
      </c>
      <c r="B153" s="1">
        <v>147</v>
      </c>
      <c r="C153" s="1">
        <v>2</v>
      </c>
    </row>
    <row r="154" spans="1:3" x14ac:dyDescent="0.35">
      <c r="A154" s="1" t="s">
        <v>933</v>
      </c>
      <c r="B154" s="1">
        <v>150</v>
      </c>
      <c r="C154" s="1">
        <v>2</v>
      </c>
    </row>
    <row r="155" spans="1:3" x14ac:dyDescent="0.35">
      <c r="A155" s="1" t="s">
        <v>934</v>
      </c>
      <c r="B155" s="1">
        <v>151</v>
      </c>
      <c r="C155" s="1">
        <v>2</v>
      </c>
    </row>
    <row r="156" spans="1:3" x14ac:dyDescent="0.35">
      <c r="A156" s="1" t="s">
        <v>938</v>
      </c>
      <c r="B156" s="1">
        <v>155</v>
      </c>
      <c r="C156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"/>
  <dimension ref="A1:M56"/>
  <sheetViews>
    <sheetView topLeftCell="A18" workbookViewId="0">
      <selection activeCell="K1" sqref="K1:M56"/>
    </sheetView>
  </sheetViews>
  <sheetFormatPr defaultColWidth="9" defaultRowHeight="15.5" x14ac:dyDescent="0.35"/>
  <cols>
    <col min="1" max="1" width="35.83203125" style="58" customWidth="1"/>
    <col min="2" max="5" width="9" style="58"/>
    <col min="6" max="6" width="13.5" style="58" bestFit="1" customWidth="1"/>
    <col min="7" max="10" width="9" style="58"/>
    <col min="11" max="11" width="23.25" style="58" customWidth="1"/>
    <col min="12" max="12" width="14.33203125" style="63" customWidth="1"/>
    <col min="13" max="13" width="17.33203125" style="63" customWidth="1"/>
    <col min="14" max="16384" width="9" style="58"/>
  </cols>
  <sheetData>
    <row r="1" spans="1:13" ht="16" thickBot="1" x14ac:dyDescent="0.4">
      <c r="A1" s="55" t="s">
        <v>940</v>
      </c>
      <c r="B1" s="95" t="s">
        <v>941</v>
      </c>
      <c r="C1" s="95"/>
      <c r="D1" s="56"/>
      <c r="E1" s="95" t="s">
        <v>942</v>
      </c>
      <c r="F1" s="95"/>
      <c r="G1" s="95" t="s">
        <v>583</v>
      </c>
      <c r="H1" s="95"/>
      <c r="I1" s="95" t="s">
        <v>943</v>
      </c>
      <c r="J1" s="95"/>
      <c r="K1" s="56" t="s">
        <v>944</v>
      </c>
      <c r="L1" s="57" t="s">
        <v>1204</v>
      </c>
      <c r="M1" s="57" t="s">
        <v>1643</v>
      </c>
    </row>
    <row r="2" spans="1:13" x14ac:dyDescent="0.35">
      <c r="A2" s="59" t="s">
        <v>945</v>
      </c>
      <c r="B2" s="58" t="e" cm="1">
        <f t="array" aca="1" ref="B2:C2" ca="1">_xlfn.TEXTSPLIT(A2," ")</f>
        <v>#NAME?</v>
      </c>
      <c r="C2" s="58" t="e">
        <f ca="1"/>
        <v>#NAME?</v>
      </c>
      <c r="E2" s="58" t="s">
        <v>946</v>
      </c>
      <c r="F2" s="58" t="s">
        <v>947</v>
      </c>
      <c r="G2" s="58" t="str">
        <f>LOWER(E2)</f>
        <v>adriana</v>
      </c>
      <c r="H2" s="58" t="str">
        <f>LOWER(F2)</f>
        <v>ampuero</v>
      </c>
      <c r="I2" s="58" t="s">
        <v>948</v>
      </c>
      <c r="J2" s="58" t="s">
        <v>949</v>
      </c>
      <c r="K2" s="58" t="s">
        <v>786</v>
      </c>
      <c r="L2" s="63">
        <f>VLOOKUP(K2,all!$N$2:$O$156,2,FALSE)</f>
        <v>2</v>
      </c>
      <c r="M2" s="63">
        <v>0</v>
      </c>
    </row>
    <row r="3" spans="1:13" x14ac:dyDescent="0.35">
      <c r="A3" s="60" t="s">
        <v>950</v>
      </c>
      <c r="B3" s="58" t="e" cm="1">
        <f t="array" aca="1" ref="B3:C3" ca="1">_xlfn.TEXTSPLIT(A3," ")</f>
        <v>#NAME?</v>
      </c>
      <c r="C3" s="58" t="e">
        <f ca="1"/>
        <v>#NAME?</v>
      </c>
      <c r="E3" s="58" t="s">
        <v>951</v>
      </c>
      <c r="F3" s="58" t="s">
        <v>952</v>
      </c>
      <c r="G3" s="58" t="str">
        <f t="shared" ref="G3:H56" si="0">LOWER(E3)</f>
        <v>alejandra</v>
      </c>
      <c r="H3" s="58" t="str">
        <f t="shared" si="0"/>
        <v>flores</v>
      </c>
      <c r="I3" s="58" t="s">
        <v>953</v>
      </c>
      <c r="J3" s="58" t="s">
        <v>954</v>
      </c>
      <c r="K3" s="58" t="s">
        <v>789</v>
      </c>
      <c r="L3" s="63">
        <f>VLOOKUP(K3,all!$N$2:$O$156,2,FALSE)</f>
        <v>5</v>
      </c>
      <c r="M3" s="63">
        <v>0</v>
      </c>
    </row>
    <row r="4" spans="1:13" x14ac:dyDescent="0.35">
      <c r="A4" s="60" t="s">
        <v>955</v>
      </c>
      <c r="B4" s="58" t="e" cm="1">
        <f t="array" aca="1" ref="B4:C4" ca="1">_xlfn.TEXTSPLIT(A4," ")</f>
        <v>#NAME?</v>
      </c>
      <c r="C4" s="58" t="e">
        <f ca="1"/>
        <v>#NAME?</v>
      </c>
      <c r="E4" s="58" t="s">
        <v>951</v>
      </c>
      <c r="F4" s="58" t="s">
        <v>956</v>
      </c>
      <c r="G4" s="58" t="str">
        <f t="shared" si="0"/>
        <v>alejandra</v>
      </c>
      <c r="H4" s="58" t="str">
        <f t="shared" si="0"/>
        <v>pérez</v>
      </c>
      <c r="I4" s="58" t="s">
        <v>953</v>
      </c>
      <c r="J4" s="58" t="s">
        <v>957</v>
      </c>
      <c r="K4" s="58" t="s">
        <v>790</v>
      </c>
      <c r="L4" s="63">
        <f>VLOOKUP(K4,all!$N$2:$O$156,2,FALSE)</f>
        <v>6</v>
      </c>
      <c r="M4" s="63">
        <v>0</v>
      </c>
    </row>
    <row r="5" spans="1:13" x14ac:dyDescent="0.35">
      <c r="A5" s="60" t="s">
        <v>958</v>
      </c>
      <c r="B5" s="58" t="e" cm="1">
        <f t="array" aca="1" ref="B5:C5" ca="1">_xlfn.TEXTSPLIT(A5," ")</f>
        <v>#NAME?</v>
      </c>
      <c r="C5" s="58" t="e">
        <f ca="1"/>
        <v>#NAME?</v>
      </c>
      <c r="E5" s="58" t="s">
        <v>959</v>
      </c>
      <c r="F5" s="58" t="s">
        <v>960</v>
      </c>
      <c r="G5" s="58" t="str">
        <f t="shared" si="0"/>
        <v>alexis</v>
      </c>
      <c r="H5" s="58" t="str">
        <f t="shared" si="0"/>
        <v>caiguán</v>
      </c>
      <c r="I5" s="58" t="s">
        <v>961</v>
      </c>
      <c r="J5" s="58" t="s">
        <v>962</v>
      </c>
      <c r="K5" s="58" t="s">
        <v>791</v>
      </c>
      <c r="L5" s="63">
        <f>VLOOKUP(K5,all!$N$2:$O$156,2,FALSE)</f>
        <v>7</v>
      </c>
      <c r="M5" s="63">
        <v>0</v>
      </c>
    </row>
    <row r="6" spans="1:13" x14ac:dyDescent="0.35">
      <c r="A6" s="60" t="s">
        <v>963</v>
      </c>
      <c r="B6" s="58" t="e" cm="1">
        <f t="array" aca="1" ref="B6:C6" ca="1">_xlfn.TEXTSPLIT(A6," ")</f>
        <v>#NAME?</v>
      </c>
      <c r="C6" s="58" t="e">
        <f ca="1"/>
        <v>#NAME?</v>
      </c>
      <c r="E6" s="58" t="s">
        <v>964</v>
      </c>
      <c r="F6" s="58" t="s">
        <v>965</v>
      </c>
      <c r="G6" s="58" t="str">
        <f t="shared" si="0"/>
        <v>alondra</v>
      </c>
      <c r="H6" s="58" t="str">
        <f t="shared" si="0"/>
        <v>carrillo</v>
      </c>
      <c r="I6" s="58" t="s">
        <v>966</v>
      </c>
      <c r="J6" s="58" t="s">
        <v>967</v>
      </c>
      <c r="K6" s="58" t="s">
        <v>793</v>
      </c>
      <c r="L6" s="63">
        <f>VLOOKUP(K6,all!$N$2:$O$156,2,FALSE)</f>
        <v>9</v>
      </c>
      <c r="M6" s="63">
        <v>0</v>
      </c>
    </row>
    <row r="7" spans="1:13" x14ac:dyDescent="0.35">
      <c r="A7" s="60" t="s">
        <v>968</v>
      </c>
      <c r="B7" s="58" t="e" cm="1">
        <f t="array" aca="1" ref="B7:C7" ca="1">_xlfn.TEXTSPLIT(A7," ")</f>
        <v>#NAME?</v>
      </c>
      <c r="C7" s="58" t="e">
        <f ca="1"/>
        <v>#NAME?</v>
      </c>
      <c r="E7" s="58" t="s">
        <v>969</v>
      </c>
      <c r="F7" s="58" t="s">
        <v>970</v>
      </c>
      <c r="G7" s="58" t="str">
        <f t="shared" si="0"/>
        <v>alvin</v>
      </c>
      <c r="H7" s="58" t="str">
        <f t="shared" si="0"/>
        <v>saldaña</v>
      </c>
      <c r="I7" s="58" t="s">
        <v>971</v>
      </c>
      <c r="J7" s="58" t="s">
        <v>972</v>
      </c>
      <c r="K7" s="58" t="s">
        <v>795</v>
      </c>
      <c r="L7" s="63">
        <f>VLOOKUP(K7,all!$N$2:$O$156,2,FALSE)</f>
        <v>11</v>
      </c>
      <c r="M7" s="63">
        <v>0</v>
      </c>
    </row>
    <row r="8" spans="1:13" x14ac:dyDescent="0.35">
      <c r="A8" s="60" t="s">
        <v>973</v>
      </c>
      <c r="B8" s="58" t="e" cm="1">
        <f t="array" aca="1" ref="B8:D8" ca="1">_xlfn.TEXTSPLIT(A8," ")</f>
        <v>#NAME?</v>
      </c>
      <c r="C8" s="58" t="e">
        <f ca="1"/>
        <v>#NAME?</v>
      </c>
      <c r="D8" s="58" t="e">
        <f ca="1"/>
        <v>#NAME?</v>
      </c>
      <c r="E8" s="58" t="s">
        <v>974</v>
      </c>
      <c r="F8" s="58" t="s">
        <v>975</v>
      </c>
      <c r="G8" s="58" t="str">
        <f t="shared" si="0"/>
        <v>bastián</v>
      </c>
      <c r="H8" s="58" t="str">
        <f t="shared" si="0"/>
        <v>labbé</v>
      </c>
      <c r="I8" s="58" t="s">
        <v>976</v>
      </c>
      <c r="J8" s="58" t="s">
        <v>977</v>
      </c>
      <c r="K8" s="58" t="s">
        <v>801</v>
      </c>
      <c r="L8" s="63">
        <f>VLOOKUP(K8,all!$N$2:$O$156,2,FALSE)</f>
        <v>17</v>
      </c>
      <c r="M8" s="63">
        <v>0</v>
      </c>
    </row>
    <row r="9" spans="1:13" x14ac:dyDescent="0.35">
      <c r="A9" s="60" t="s">
        <v>978</v>
      </c>
      <c r="B9" s="58" t="e" cm="1">
        <f t="array" aca="1" ref="B9:C9" ca="1">_xlfn.TEXTSPLIT(A9," ")</f>
        <v>#NAME?</v>
      </c>
      <c r="C9" s="58" t="e">
        <f ca="1"/>
        <v>#NAME?</v>
      </c>
      <c r="E9" s="58" t="s">
        <v>979</v>
      </c>
      <c r="F9" s="58" t="s">
        <v>980</v>
      </c>
      <c r="G9" s="58" t="str">
        <f t="shared" si="0"/>
        <v>benito</v>
      </c>
      <c r="H9" s="58" t="str">
        <f t="shared" si="0"/>
        <v>baranda</v>
      </c>
      <c r="I9" s="58" t="s">
        <v>981</v>
      </c>
      <c r="J9" s="58" t="s">
        <v>982</v>
      </c>
      <c r="K9" s="58" t="s">
        <v>803</v>
      </c>
      <c r="L9" s="63">
        <f>VLOOKUP(K9,all!$N$2:$O$156,2,FALSE)</f>
        <v>19</v>
      </c>
      <c r="M9" s="63">
        <v>0</v>
      </c>
    </row>
    <row r="10" spans="1:13" x14ac:dyDescent="0.35">
      <c r="A10" s="60" t="s">
        <v>983</v>
      </c>
      <c r="B10" s="58" t="e" cm="1">
        <f t="array" aca="1" ref="B10:C10" ca="1">_xlfn.TEXTSPLIT(A10," ")</f>
        <v>#NAME?</v>
      </c>
      <c r="C10" s="58" t="e">
        <f ca="1"/>
        <v>#NAME?</v>
      </c>
      <c r="E10" s="58" t="s">
        <v>984</v>
      </c>
      <c r="F10" s="58" t="s">
        <v>985</v>
      </c>
      <c r="G10" s="58" t="str">
        <f t="shared" si="0"/>
        <v>camila</v>
      </c>
      <c r="H10" s="58" t="str">
        <f t="shared" si="0"/>
        <v>zárate</v>
      </c>
      <c r="I10" s="58" t="s">
        <v>986</v>
      </c>
      <c r="J10" s="58" t="s">
        <v>987</v>
      </c>
      <c r="K10" s="58" t="s">
        <v>807</v>
      </c>
      <c r="L10" s="63">
        <f>VLOOKUP(K10,all!$N$2:$O$156,2,FALSE)</f>
        <v>23</v>
      </c>
      <c r="M10" s="63">
        <v>0</v>
      </c>
    </row>
    <row r="11" spans="1:13" x14ac:dyDescent="0.35">
      <c r="A11" s="60" t="s">
        <v>988</v>
      </c>
      <c r="B11" s="58" t="e" cm="1">
        <f t="array" aca="1" ref="B11:C11" ca="1">_xlfn.TEXTSPLIT(A11," ")</f>
        <v>#NAME?</v>
      </c>
      <c r="C11" s="58" t="e">
        <f ca="1"/>
        <v>#NAME?</v>
      </c>
      <c r="E11" s="58" t="s">
        <v>989</v>
      </c>
      <c r="F11" s="58" t="s">
        <v>990</v>
      </c>
      <c r="G11" s="58" t="str">
        <f t="shared" si="0"/>
        <v>carolina</v>
      </c>
      <c r="H11" s="58" t="str">
        <f t="shared" si="0"/>
        <v>sepúlveda</v>
      </c>
      <c r="I11" s="58" t="s">
        <v>991</v>
      </c>
      <c r="J11" s="58" t="s">
        <v>992</v>
      </c>
      <c r="K11" s="58" t="s">
        <v>811</v>
      </c>
      <c r="L11" s="63">
        <f>VLOOKUP(K11,all!$N$2:$O$156,2,FALSE)</f>
        <v>27</v>
      </c>
      <c r="M11" s="63">
        <v>0</v>
      </c>
    </row>
    <row r="12" spans="1:13" x14ac:dyDescent="0.35">
      <c r="A12" s="60" t="s">
        <v>993</v>
      </c>
      <c r="B12" s="58" t="e" cm="1">
        <f t="array" aca="1" ref="B12:C12" ca="1">_xlfn.TEXTSPLIT(A12," ")</f>
        <v>#NAME?</v>
      </c>
      <c r="C12" s="58" t="e">
        <f ca="1"/>
        <v>#NAME?</v>
      </c>
      <c r="E12" s="58" t="s">
        <v>994</v>
      </c>
      <c r="F12" s="58" t="s">
        <v>995</v>
      </c>
      <c r="G12" s="58" t="str">
        <f t="shared" si="0"/>
        <v>césar</v>
      </c>
      <c r="H12" s="58" t="str">
        <f t="shared" si="0"/>
        <v>uribe</v>
      </c>
      <c r="I12" s="58" t="s">
        <v>996</v>
      </c>
      <c r="J12" s="58" t="s">
        <v>997</v>
      </c>
      <c r="K12" s="58" t="s">
        <v>815</v>
      </c>
      <c r="L12" s="63">
        <f>VLOOKUP(K12,all!$N$2:$O$156,2,FALSE)</f>
        <v>31</v>
      </c>
      <c r="M12" s="63">
        <v>0</v>
      </c>
    </row>
    <row r="13" spans="1:13" x14ac:dyDescent="0.35">
      <c r="A13" s="60" t="s">
        <v>998</v>
      </c>
      <c r="B13" s="58" t="e" cm="1">
        <f t="array" aca="1" ref="B13:D13" ca="1">_xlfn.TEXTSPLIT(A13," ")</f>
        <v>#NAME?</v>
      </c>
      <c r="C13" s="58" t="e">
        <f ca="1"/>
        <v>#NAME?</v>
      </c>
      <c r="D13" s="58" t="e">
        <f ca="1"/>
        <v>#NAME?</v>
      </c>
      <c r="E13" s="58" t="s">
        <v>999</v>
      </c>
      <c r="F13" s="58" t="s">
        <v>1000</v>
      </c>
      <c r="G13" s="58" t="str">
        <f t="shared" si="0"/>
        <v>constanza</v>
      </c>
      <c r="H13" s="58" t="str">
        <f t="shared" si="0"/>
        <v>san juan</v>
      </c>
      <c r="I13" s="58" t="s">
        <v>1001</v>
      </c>
      <c r="J13" s="58" t="s">
        <v>1002</v>
      </c>
      <c r="K13" s="58" t="s">
        <v>820</v>
      </c>
      <c r="L13" s="63">
        <f>VLOOKUP(K13,all!$N$2:$O$156,2,FALSE)</f>
        <v>36</v>
      </c>
      <c r="M13" s="63">
        <v>0</v>
      </c>
    </row>
    <row r="14" spans="1:13" x14ac:dyDescent="0.35">
      <c r="A14" s="60" t="s">
        <v>1003</v>
      </c>
      <c r="B14" s="58" t="e" cm="1">
        <f t="array" aca="1" ref="B14:C14" ca="1">_xlfn.TEXTSPLIT(A14," ")</f>
        <v>#NAME?</v>
      </c>
      <c r="C14" s="58" t="e">
        <f ca="1"/>
        <v>#NAME?</v>
      </c>
      <c r="E14" s="58" t="s">
        <v>1004</v>
      </c>
      <c r="F14" s="58" t="s">
        <v>1005</v>
      </c>
      <c r="G14" s="58" t="str">
        <f t="shared" si="0"/>
        <v>cristina</v>
      </c>
      <c r="H14" s="58" t="str">
        <f t="shared" si="0"/>
        <v>dorador</v>
      </c>
      <c r="I14" s="58" t="s">
        <v>1006</v>
      </c>
      <c r="J14" s="58" t="s">
        <v>1007</v>
      </c>
      <c r="K14" s="58" t="s">
        <v>824</v>
      </c>
      <c r="L14" s="63">
        <f>VLOOKUP(K14,all!$N$2:$O$156,2,FALSE)</f>
        <v>40</v>
      </c>
      <c r="M14" s="63">
        <v>0</v>
      </c>
    </row>
    <row r="15" spans="1:13" x14ac:dyDescent="0.35">
      <c r="A15" s="60" t="s">
        <v>1008</v>
      </c>
      <c r="B15" s="58" t="e" cm="1">
        <f t="array" aca="1" ref="B15:C15" ca="1">_xlfn.TEXTSPLIT(A15," ")</f>
        <v>#NAME?</v>
      </c>
      <c r="C15" s="58" t="e">
        <f ca="1"/>
        <v>#NAME?</v>
      </c>
      <c r="E15" s="58" t="s">
        <v>1009</v>
      </c>
      <c r="F15" s="58" t="s">
        <v>1010</v>
      </c>
      <c r="G15" s="58" t="str">
        <f t="shared" si="0"/>
        <v>dayyana</v>
      </c>
      <c r="H15" s="58" t="str">
        <f t="shared" si="0"/>
        <v>gonzález</v>
      </c>
      <c r="I15" s="58" t="s">
        <v>1011</v>
      </c>
      <c r="J15" s="58" t="s">
        <v>1012</v>
      </c>
      <c r="K15" s="58" t="s">
        <v>829</v>
      </c>
      <c r="L15" s="63">
        <f>VLOOKUP(K15,all!$N$2:$O$156,2,FALSE)</f>
        <v>45</v>
      </c>
      <c r="M15" s="63">
        <v>0</v>
      </c>
    </row>
    <row r="16" spans="1:13" x14ac:dyDescent="0.35">
      <c r="A16" s="60" t="s">
        <v>1013</v>
      </c>
      <c r="B16" s="58" t="e" cm="1">
        <f t="array" aca="1" ref="B16:C16" ca="1">_xlfn.TEXTSPLIT(A16," ")</f>
        <v>#NAME?</v>
      </c>
      <c r="C16" s="58" t="e">
        <f ca="1"/>
        <v>#NAME?</v>
      </c>
      <c r="E16" s="58" t="s">
        <v>1014</v>
      </c>
      <c r="F16" s="58" t="s">
        <v>1015</v>
      </c>
      <c r="G16" s="58" t="str">
        <f t="shared" si="0"/>
        <v>elisa</v>
      </c>
      <c r="H16" s="58" t="str">
        <f t="shared" si="0"/>
        <v>giustinianovich</v>
      </c>
      <c r="I16" s="58" t="s">
        <v>1016</v>
      </c>
      <c r="J16" s="58" t="s">
        <v>1017</v>
      </c>
      <c r="K16" s="58" t="s">
        <v>832</v>
      </c>
      <c r="L16" s="63">
        <f>VLOOKUP(K16,all!$N$2:$O$156,2,FALSE)</f>
        <v>48</v>
      </c>
      <c r="M16" s="63">
        <v>0</v>
      </c>
    </row>
    <row r="17" spans="1:13" x14ac:dyDescent="0.35">
      <c r="A17" s="60" t="s">
        <v>1018</v>
      </c>
      <c r="B17" s="58" t="e" cm="1">
        <f t="array" aca="1" ref="B17:C17" ca="1">_xlfn.TEXTSPLIT(A17," ")</f>
        <v>#NAME?</v>
      </c>
      <c r="C17" s="58" t="e">
        <f ca="1"/>
        <v>#NAME?</v>
      </c>
      <c r="E17" s="58" t="s">
        <v>1014</v>
      </c>
      <c r="F17" s="58" t="s">
        <v>1019</v>
      </c>
      <c r="G17" s="58" t="str">
        <f t="shared" si="0"/>
        <v>elisa</v>
      </c>
      <c r="H17" s="58" t="str">
        <f t="shared" si="0"/>
        <v>loncón</v>
      </c>
      <c r="I17" s="58" t="s">
        <v>1016</v>
      </c>
      <c r="J17" s="58" t="s">
        <v>1020</v>
      </c>
      <c r="K17" s="58" t="s">
        <v>833</v>
      </c>
      <c r="L17" s="63">
        <f>VLOOKUP(K17,all!$N$2:$O$156,2,FALSE)</f>
        <v>49</v>
      </c>
      <c r="M17" s="63">
        <v>0</v>
      </c>
    </row>
    <row r="18" spans="1:13" x14ac:dyDescent="0.35">
      <c r="A18" s="60" t="s">
        <v>1021</v>
      </c>
      <c r="B18" s="58" t="e" cm="1">
        <f t="array" aca="1" ref="B18:C18" ca="1">_xlfn.TEXTSPLIT(A18," ")</f>
        <v>#NAME?</v>
      </c>
      <c r="C18" s="58" t="e">
        <f ca="1"/>
        <v>#NAME?</v>
      </c>
      <c r="E18" s="58" t="s">
        <v>1022</v>
      </c>
      <c r="F18" s="58" t="s">
        <v>1023</v>
      </c>
      <c r="G18" s="58" t="str">
        <f t="shared" si="0"/>
        <v>elsa</v>
      </c>
      <c r="H18" s="58" t="str">
        <f t="shared" si="0"/>
        <v>labraña</v>
      </c>
      <c r="I18" s="58" t="s">
        <v>1024</v>
      </c>
      <c r="J18" s="58" t="s">
        <v>1025</v>
      </c>
      <c r="K18" s="58" t="s">
        <v>834</v>
      </c>
      <c r="L18" s="63">
        <f>VLOOKUP(K18,all!$N$2:$O$156,2,FALSE)</f>
        <v>50</v>
      </c>
      <c r="M18" s="63">
        <v>0</v>
      </c>
    </row>
    <row r="19" spans="1:13" x14ac:dyDescent="0.35">
      <c r="A19" s="60" t="s">
        <v>1026</v>
      </c>
      <c r="B19" s="58" t="e" cm="1">
        <f t="array" aca="1" ref="B19:C19" ca="1">_xlfn.TEXTSPLIT(A19," ")</f>
        <v>#NAME?</v>
      </c>
      <c r="C19" s="58" t="e">
        <f ca="1"/>
        <v>#NAME?</v>
      </c>
      <c r="E19" s="58" t="s">
        <v>1027</v>
      </c>
      <c r="F19" s="58" t="s">
        <v>1028</v>
      </c>
      <c r="G19" s="58" t="str">
        <f t="shared" si="0"/>
        <v>eric</v>
      </c>
      <c r="H19" s="58" t="str">
        <f t="shared" si="0"/>
        <v>chinga</v>
      </c>
      <c r="I19" s="58" t="s">
        <v>1029</v>
      </c>
      <c r="J19" s="58" t="s">
        <v>1030</v>
      </c>
      <c r="K19" s="58" t="s">
        <v>835</v>
      </c>
      <c r="L19" s="63">
        <f>VLOOKUP(K19,all!$N$2:$O$156,2,FALSE)</f>
        <v>51</v>
      </c>
      <c r="M19" s="63">
        <v>0</v>
      </c>
    </row>
    <row r="20" spans="1:13" x14ac:dyDescent="0.35">
      <c r="A20" s="60" t="s">
        <v>1031</v>
      </c>
      <c r="B20" s="58" t="e" cm="1">
        <f t="array" aca="1" ref="B20:C20" ca="1">_xlfn.TEXTSPLIT(A20," ")</f>
        <v>#NAME?</v>
      </c>
      <c r="C20" s="58" t="e">
        <f ca="1"/>
        <v>#NAME?</v>
      </c>
      <c r="E20" s="58" t="s">
        <v>1032</v>
      </c>
      <c r="F20" s="58" t="s">
        <v>1033</v>
      </c>
      <c r="G20" s="58" t="str">
        <f t="shared" si="0"/>
        <v>félix</v>
      </c>
      <c r="H20" s="58" t="str">
        <f t="shared" si="0"/>
        <v>galleguillos</v>
      </c>
      <c r="I20" s="58" t="s">
        <v>1034</v>
      </c>
      <c r="J20" s="58" t="s">
        <v>1035</v>
      </c>
      <c r="K20" s="58" t="s">
        <v>839</v>
      </c>
      <c r="L20" s="63">
        <f>VLOOKUP(K20,all!$N$2:$O$156,2,FALSE)</f>
        <v>55</v>
      </c>
      <c r="M20" s="63">
        <v>0</v>
      </c>
    </row>
    <row r="21" spans="1:13" x14ac:dyDescent="0.35">
      <c r="A21" s="60" t="s">
        <v>1036</v>
      </c>
      <c r="B21" s="58" t="e" cm="1">
        <f t="array" aca="1" ref="B21:C21" ca="1">_xlfn.TEXTSPLIT(A21," ")</f>
        <v>#NAME?</v>
      </c>
      <c r="C21" s="58" t="e">
        <f ca="1"/>
        <v>#NAME?</v>
      </c>
      <c r="E21" s="58" t="s">
        <v>1037</v>
      </c>
      <c r="F21" s="58" t="s">
        <v>1038</v>
      </c>
      <c r="G21" s="58" t="str">
        <f t="shared" si="0"/>
        <v>fernando</v>
      </c>
      <c r="H21" s="58" t="str">
        <f t="shared" si="0"/>
        <v>salinas</v>
      </c>
      <c r="I21" s="58" t="s">
        <v>1039</v>
      </c>
      <c r="J21" s="58" t="s">
        <v>1040</v>
      </c>
      <c r="K21" s="58" t="s">
        <v>841</v>
      </c>
      <c r="L21" s="63">
        <f>VLOOKUP(K21,all!$N$2:$O$156,2,FALSE)</f>
        <v>57</v>
      </c>
      <c r="M21" s="63">
        <v>0</v>
      </c>
    </row>
    <row r="22" spans="1:13" x14ac:dyDescent="0.35">
      <c r="A22" s="60" t="s">
        <v>1041</v>
      </c>
      <c r="B22" s="58" t="e" cm="1">
        <f t="array" aca="1" ref="B22:C22" ca="1">_xlfn.TEXTSPLIT(A22," ")</f>
        <v>#NAME?</v>
      </c>
      <c r="C22" s="58" t="e">
        <f ca="1"/>
        <v>#NAME?</v>
      </c>
      <c r="E22" s="58" t="s">
        <v>1042</v>
      </c>
      <c r="F22" s="58" t="s">
        <v>1043</v>
      </c>
      <c r="G22" s="58" t="str">
        <f t="shared" si="0"/>
        <v>francisca</v>
      </c>
      <c r="H22" s="58" t="str">
        <f t="shared" si="0"/>
        <v>arauna</v>
      </c>
      <c r="I22" s="58" t="s">
        <v>1044</v>
      </c>
      <c r="J22" s="58" t="s">
        <v>1045</v>
      </c>
      <c r="K22" s="58" t="s">
        <v>844</v>
      </c>
      <c r="L22" s="63">
        <f>VLOOKUP(K22,all!$N$2:$O$156,2,FALSE)</f>
        <v>60</v>
      </c>
      <c r="M22" s="63">
        <v>0</v>
      </c>
    </row>
    <row r="23" spans="1:13" x14ac:dyDescent="0.35">
      <c r="A23" s="60" t="s">
        <v>1046</v>
      </c>
      <c r="B23" s="58" t="e" cm="1">
        <f t="array" aca="1" ref="B23:C23" ca="1">_xlfn.TEXTSPLIT(A23," ")</f>
        <v>#NAME?</v>
      </c>
      <c r="C23" s="58" t="e">
        <f ca="1"/>
        <v>#NAME?</v>
      </c>
      <c r="E23" s="58" t="s">
        <v>1042</v>
      </c>
      <c r="F23" s="58" t="s">
        <v>1047</v>
      </c>
      <c r="G23" s="58" t="str">
        <f t="shared" si="0"/>
        <v>francisca</v>
      </c>
      <c r="H23" s="58" t="str">
        <f t="shared" si="0"/>
        <v>linconao</v>
      </c>
      <c r="I23" s="58" t="s">
        <v>1044</v>
      </c>
      <c r="J23" s="58" t="s">
        <v>1048</v>
      </c>
      <c r="K23" s="58" t="s">
        <v>843</v>
      </c>
      <c r="L23" s="63">
        <f>VLOOKUP(K23,all!$N$2:$O$156,2,FALSE)</f>
        <v>59</v>
      </c>
      <c r="M23" s="63">
        <v>0</v>
      </c>
    </row>
    <row r="24" spans="1:13" x14ac:dyDescent="0.35">
      <c r="A24" s="60" t="s">
        <v>1049</v>
      </c>
      <c r="B24" s="58" t="e" cm="1">
        <f t="array" aca="1" ref="B24:C24" ca="1">_xlfn.TEXTSPLIT(A24," ")</f>
        <v>#NAME?</v>
      </c>
      <c r="C24" s="58" t="e">
        <f ca="1"/>
        <v>#NAME?</v>
      </c>
      <c r="E24" s="58" t="s">
        <v>1050</v>
      </c>
      <c r="F24" s="58" t="s">
        <v>1051</v>
      </c>
      <c r="G24" s="58" t="str">
        <f t="shared" si="0"/>
        <v>francisco</v>
      </c>
      <c r="H24" s="58" t="str">
        <f t="shared" si="0"/>
        <v>caamaño</v>
      </c>
      <c r="I24" s="58" t="s">
        <v>1052</v>
      </c>
      <c r="J24" s="58" t="s">
        <v>1053</v>
      </c>
      <c r="K24" s="58" t="s">
        <v>845</v>
      </c>
      <c r="L24" s="63">
        <f>VLOOKUP(K24,all!$N$2:$O$156,2,FALSE)</f>
        <v>61</v>
      </c>
      <c r="M24" s="63">
        <v>0</v>
      </c>
    </row>
    <row r="25" spans="1:13" x14ac:dyDescent="0.35">
      <c r="A25" s="60" t="s">
        <v>1054</v>
      </c>
      <c r="B25" s="58" t="e" cm="1">
        <f t="array" aca="1" ref="B25:D25" ca="1">_xlfn.TEXTSPLIT(A25," ")</f>
        <v>#NAME?</v>
      </c>
      <c r="C25" s="58" t="e">
        <f ca="1"/>
        <v>#NAME?</v>
      </c>
      <c r="D25" s="58" t="e">
        <f ca="1"/>
        <v>#NAME?</v>
      </c>
      <c r="E25" s="58" t="s">
        <v>1055</v>
      </c>
      <c r="F25" s="58" t="s">
        <v>1056</v>
      </c>
      <c r="G25" s="58" t="str">
        <f t="shared" si="0"/>
        <v>gaspar</v>
      </c>
      <c r="H25" s="58" t="str">
        <f t="shared" si="0"/>
        <v>domínguez</v>
      </c>
      <c r="I25" s="58" t="s">
        <v>1057</v>
      </c>
      <c r="J25" s="58" t="s">
        <v>1058</v>
      </c>
      <c r="K25" s="58" t="s">
        <v>847</v>
      </c>
      <c r="L25" s="63">
        <f>VLOOKUP(K25,all!$N$2:$O$156,2,FALSE)</f>
        <v>63</v>
      </c>
      <c r="M25" s="63">
        <v>0</v>
      </c>
    </row>
    <row r="26" spans="1:13" x14ac:dyDescent="0.35">
      <c r="A26" s="60" t="s">
        <v>1059</v>
      </c>
      <c r="B26" s="58" t="e" cm="1">
        <f t="array" aca="1" ref="B26:C26" ca="1">_xlfn.TEXTSPLIT(A26," ")</f>
        <v>#NAME?</v>
      </c>
      <c r="C26" s="58" t="e">
        <f ca="1"/>
        <v>#NAME?</v>
      </c>
      <c r="E26" s="58" t="s">
        <v>1060</v>
      </c>
      <c r="F26" s="58" t="s">
        <v>1061</v>
      </c>
      <c r="G26" s="58" t="str">
        <f t="shared" si="0"/>
        <v>giovanna</v>
      </c>
      <c r="H26" s="58" t="str">
        <f t="shared" si="0"/>
        <v>grandón</v>
      </c>
      <c r="I26" s="58" t="s">
        <v>1062</v>
      </c>
      <c r="J26" s="58" t="s">
        <v>1063</v>
      </c>
      <c r="K26" s="58" t="s">
        <v>850</v>
      </c>
      <c r="L26" s="63">
        <f>VLOOKUP(K26,all!$N$2:$O$156,2,FALSE)</f>
        <v>66</v>
      </c>
      <c r="M26" s="63">
        <v>0</v>
      </c>
    </row>
    <row r="27" spans="1:13" x14ac:dyDescent="0.35">
      <c r="A27" s="60" t="s">
        <v>1064</v>
      </c>
      <c r="B27" s="58" t="e" cm="1">
        <f t="array" aca="1" ref="B27:C27" ca="1">_xlfn.TEXTSPLIT(A27," ")</f>
        <v>#NAME?</v>
      </c>
      <c r="C27" s="58" t="e">
        <f ca="1"/>
        <v>#NAME?</v>
      </c>
      <c r="E27" s="58" t="s">
        <v>1065</v>
      </c>
      <c r="F27" s="58" t="s">
        <v>1066</v>
      </c>
      <c r="G27" s="58" t="str">
        <f t="shared" si="0"/>
        <v>gloria</v>
      </c>
      <c r="H27" s="58" t="str">
        <f t="shared" si="0"/>
        <v>alvarado</v>
      </c>
      <c r="I27" s="58" t="s">
        <v>1067</v>
      </c>
      <c r="J27" s="58" t="s">
        <v>1068</v>
      </c>
      <c r="K27" s="58" t="s">
        <v>851</v>
      </c>
      <c r="L27" s="63">
        <f>VLOOKUP(K27,all!$N$2:$O$156,2,FALSE)</f>
        <v>67</v>
      </c>
      <c r="M27" s="63">
        <v>0</v>
      </c>
    </row>
    <row r="28" spans="1:13" x14ac:dyDescent="0.35">
      <c r="A28" s="60" t="s">
        <v>1069</v>
      </c>
      <c r="B28" s="58" t="e" cm="1">
        <f t="array" aca="1" ref="B28:D28" ca="1">_xlfn.TEXTSPLIT(A28," ")</f>
        <v>#NAME?</v>
      </c>
      <c r="C28" s="58" t="e">
        <f ca="1"/>
        <v>#NAME?</v>
      </c>
      <c r="D28" s="58" t="e">
        <f ca="1"/>
        <v>#NAME?</v>
      </c>
      <c r="E28" s="58" t="s">
        <v>1070</v>
      </c>
      <c r="F28" s="58" t="s">
        <v>1071</v>
      </c>
      <c r="G28" s="58" t="str">
        <f t="shared" si="0"/>
        <v>guillermo</v>
      </c>
      <c r="H28" s="58" t="str">
        <f t="shared" si="0"/>
        <v>namor</v>
      </c>
      <c r="I28" s="58" t="s">
        <v>1072</v>
      </c>
      <c r="J28" s="58" t="s">
        <v>1073</v>
      </c>
      <c r="K28" s="58" t="s">
        <v>852</v>
      </c>
      <c r="L28" s="63">
        <f>VLOOKUP(K28,all!$N$2:$O$156,2,FALSE)</f>
        <v>68</v>
      </c>
      <c r="M28" s="63">
        <v>0</v>
      </c>
    </row>
    <row r="29" spans="1:13" x14ac:dyDescent="0.35">
      <c r="A29" s="60" t="s">
        <v>1074</v>
      </c>
      <c r="B29" s="58" t="e" cm="1">
        <f t="array" aca="1" ref="B29:C29" ca="1">_xlfn.TEXTSPLIT(A29," ")</f>
        <v>#NAME?</v>
      </c>
      <c r="C29" s="58" t="e">
        <f ca="1"/>
        <v>#NAME?</v>
      </c>
      <c r="E29" s="58" t="s">
        <v>1075</v>
      </c>
      <c r="F29" s="58" t="s">
        <v>1076</v>
      </c>
      <c r="G29" s="58" t="str">
        <f t="shared" si="0"/>
        <v>ingrid</v>
      </c>
      <c r="H29" s="58" t="str">
        <f t="shared" si="0"/>
        <v>villena</v>
      </c>
      <c r="I29" s="58" t="s">
        <v>1077</v>
      </c>
      <c r="J29" s="58" t="s">
        <v>1078</v>
      </c>
      <c r="K29" s="58" t="s">
        <v>859</v>
      </c>
      <c r="L29" s="63">
        <f>VLOOKUP(K29,all!$N$2:$O$156,2,FALSE)</f>
        <v>75</v>
      </c>
      <c r="M29" s="63">
        <v>0</v>
      </c>
    </row>
    <row r="30" spans="1:13" x14ac:dyDescent="0.35">
      <c r="A30" s="60" t="s">
        <v>1079</v>
      </c>
      <c r="B30" s="58" t="e" cm="1">
        <f t="array" aca="1" ref="B30:C30" ca="1">_xlfn.TEXTSPLIT(A30," ")</f>
        <v>#NAME?</v>
      </c>
      <c r="C30" s="58" t="e">
        <f ca="1"/>
        <v>#NAME?</v>
      </c>
      <c r="E30" s="58" t="s">
        <v>1080</v>
      </c>
      <c r="F30" s="58" t="s">
        <v>1081</v>
      </c>
      <c r="G30" s="58" t="str">
        <f t="shared" si="0"/>
        <v>isabel</v>
      </c>
      <c r="H30" s="58" t="str">
        <f t="shared" si="0"/>
        <v>godoy</v>
      </c>
      <c r="I30" s="58" t="s">
        <v>1082</v>
      </c>
      <c r="J30" s="58" t="s">
        <v>1083</v>
      </c>
      <c r="K30" s="58" t="s">
        <v>860</v>
      </c>
      <c r="L30" s="63">
        <f>VLOOKUP(K30,all!$N$2:$O$156,2,FALSE)</f>
        <v>76</v>
      </c>
      <c r="M30" s="63">
        <v>0</v>
      </c>
    </row>
    <row r="31" spans="1:13" x14ac:dyDescent="0.35">
      <c r="A31" s="60" t="s">
        <v>1084</v>
      </c>
      <c r="B31" s="58" t="e" cm="1">
        <f t="array" aca="1" ref="B31:C31" ca="1">_xlfn.TEXTSPLIT(A31," ")</f>
        <v>#NAME?</v>
      </c>
      <c r="C31" s="58" t="e">
        <f ca="1"/>
        <v>#NAME?</v>
      </c>
      <c r="E31" s="58" t="s">
        <v>1085</v>
      </c>
      <c r="F31" s="58" t="s">
        <v>1086</v>
      </c>
      <c r="G31" s="58" t="str">
        <f t="shared" si="0"/>
        <v>isabella</v>
      </c>
      <c r="H31" s="58" t="str">
        <f t="shared" si="0"/>
        <v>mamani</v>
      </c>
      <c r="I31" s="58" t="s">
        <v>1087</v>
      </c>
      <c r="J31" s="58" t="s">
        <v>1088</v>
      </c>
      <c r="K31" s="58" t="s">
        <v>861</v>
      </c>
      <c r="L31" s="63">
        <f>VLOOKUP(K31,all!$N$2:$O$156,2,FALSE)</f>
        <v>77</v>
      </c>
      <c r="M31" s="63">
        <v>0</v>
      </c>
    </row>
    <row r="32" spans="1:13" x14ac:dyDescent="0.35">
      <c r="A32" s="60" t="s">
        <v>1089</v>
      </c>
      <c r="B32" s="58" t="e" cm="1">
        <f t="array" aca="1" ref="B32:C32" ca="1">_xlfn.TEXTSPLIT(A32," ")</f>
        <v>#NAME?</v>
      </c>
      <c r="C32" s="58" t="e">
        <f ca="1"/>
        <v>#NAME?</v>
      </c>
      <c r="E32" s="58" t="s">
        <v>1090</v>
      </c>
      <c r="F32" s="58" t="s">
        <v>1091</v>
      </c>
      <c r="G32" s="58" t="str">
        <f t="shared" si="0"/>
        <v>ivanna</v>
      </c>
      <c r="H32" s="58" t="str">
        <f t="shared" si="0"/>
        <v>olivares</v>
      </c>
      <c r="I32" s="58" t="s">
        <v>1092</v>
      </c>
      <c r="J32" s="58" t="s">
        <v>1093</v>
      </c>
      <c r="K32" s="58" t="s">
        <v>862</v>
      </c>
      <c r="L32" s="63">
        <f>VLOOKUP(K32,all!$N$2:$O$156,2,FALSE)</f>
        <v>78</v>
      </c>
      <c r="M32" s="63">
        <v>0</v>
      </c>
    </row>
    <row r="33" spans="1:13" x14ac:dyDescent="0.35">
      <c r="A33" s="60" t="s">
        <v>1094</v>
      </c>
      <c r="B33" s="58" t="e" cm="1">
        <f t="array" aca="1" ref="B33:D33" ca="1">_xlfn.TEXTSPLIT(A33," ")</f>
        <v>#NAME?</v>
      </c>
      <c r="C33" s="58" t="e">
        <f ca="1"/>
        <v>#NAME?</v>
      </c>
      <c r="D33" s="58" t="e">
        <f ca="1"/>
        <v>#NAME?</v>
      </c>
      <c r="E33" s="58" t="s">
        <v>1095</v>
      </c>
      <c r="F33" s="58" t="s">
        <v>1096</v>
      </c>
      <c r="G33" s="58" t="str">
        <f t="shared" si="0"/>
        <v>javier</v>
      </c>
      <c r="H33" s="58" t="str">
        <f t="shared" si="0"/>
        <v>fuchslocher</v>
      </c>
      <c r="I33" s="58" t="s">
        <v>1097</v>
      </c>
      <c r="J33" s="58" t="s">
        <v>1098</v>
      </c>
      <c r="K33" s="58" t="s">
        <v>865</v>
      </c>
      <c r="L33" s="63">
        <f>VLOOKUP(K33,all!$N$2:$O$156,2,FALSE)</f>
        <v>81</v>
      </c>
      <c r="M33" s="63">
        <v>0</v>
      </c>
    </row>
    <row r="34" spans="1:13" x14ac:dyDescent="0.35">
      <c r="A34" s="60" t="s">
        <v>1099</v>
      </c>
      <c r="B34" s="58" t="e" cm="1">
        <f t="array" aca="1" ref="B34:D34" ca="1">_xlfn.TEXTSPLIT(A34," ")</f>
        <v>#NAME?</v>
      </c>
      <c r="C34" s="58" t="e">
        <f ca="1"/>
        <v>#NAME?</v>
      </c>
      <c r="D34" s="58" t="e">
        <f ca="1"/>
        <v>#NAME?</v>
      </c>
      <c r="E34" s="58" t="s">
        <v>1100</v>
      </c>
      <c r="F34" s="58" t="s">
        <v>1101</v>
      </c>
      <c r="G34" s="58" t="str">
        <f t="shared" si="0"/>
        <v>juan josé</v>
      </c>
      <c r="H34" s="58" t="str">
        <f t="shared" si="0"/>
        <v>martín</v>
      </c>
      <c r="I34" s="58" t="s">
        <v>1102</v>
      </c>
      <c r="J34" s="58" t="s">
        <v>1103</v>
      </c>
      <c r="K34" s="58" t="s">
        <v>870</v>
      </c>
      <c r="L34" s="63">
        <f>VLOOKUP(K34,all!$N$2:$O$156,2,FALSE)</f>
        <v>86</v>
      </c>
      <c r="M34" s="63">
        <v>0</v>
      </c>
    </row>
    <row r="35" spans="1:13" x14ac:dyDescent="0.35">
      <c r="A35" s="60" t="s">
        <v>1104</v>
      </c>
      <c r="B35" s="58" t="e" cm="1">
        <f t="array" aca="1" ref="B35:C35" ca="1">_xlfn.TEXTSPLIT(A35," ")</f>
        <v>#NAME?</v>
      </c>
      <c r="C35" s="58" t="e">
        <f ca="1"/>
        <v>#NAME?</v>
      </c>
      <c r="E35" s="58" t="s">
        <v>1105</v>
      </c>
      <c r="F35" s="58" t="s">
        <v>1106</v>
      </c>
      <c r="G35" s="58" t="str">
        <f t="shared" si="0"/>
        <v>lisette</v>
      </c>
      <c r="H35" s="58" t="str">
        <f t="shared" si="0"/>
        <v>vergara</v>
      </c>
      <c r="I35" s="58" t="s">
        <v>1107</v>
      </c>
      <c r="J35" s="58" t="s">
        <v>1108</v>
      </c>
      <c r="K35" s="58" t="s">
        <v>874</v>
      </c>
      <c r="L35" s="63">
        <f>VLOOKUP(K35,all!$N$2:$O$156,2,FALSE)</f>
        <v>90</v>
      </c>
      <c r="M35" s="63">
        <v>0</v>
      </c>
    </row>
    <row r="36" spans="1:13" x14ac:dyDescent="0.35">
      <c r="A36" s="60" t="s">
        <v>1109</v>
      </c>
      <c r="B36" s="58" t="e" cm="1">
        <f t="array" aca="1" ref="B36:D36" ca="1">_xlfn.TEXTSPLIT(A36," ")</f>
        <v>#NAME?</v>
      </c>
      <c r="C36" s="58" t="e">
        <f ca="1"/>
        <v>#NAME?</v>
      </c>
      <c r="D36" s="58" t="e">
        <f ca="1"/>
        <v>#NAME?</v>
      </c>
      <c r="E36" s="58" t="s">
        <v>1110</v>
      </c>
      <c r="F36" s="58" t="s">
        <v>1111</v>
      </c>
      <c r="G36" s="58" t="str">
        <f t="shared" si="0"/>
        <v>lorena</v>
      </c>
      <c r="H36" s="58" t="str">
        <f t="shared" si="0"/>
        <v>céspedes</v>
      </c>
      <c r="I36" s="58" t="s">
        <v>1112</v>
      </c>
      <c r="J36" s="58" t="s">
        <v>1113</v>
      </c>
      <c r="K36" s="58" t="s">
        <v>875</v>
      </c>
      <c r="L36" s="63">
        <f>VLOOKUP(K36,all!$N$2:$O$156,2,FALSE)</f>
        <v>91</v>
      </c>
      <c r="M36" s="63">
        <v>0</v>
      </c>
    </row>
    <row r="37" spans="1:13" x14ac:dyDescent="0.35">
      <c r="A37" s="60" t="s">
        <v>1114</v>
      </c>
      <c r="B37" s="58" t="e" cm="1">
        <f t="array" aca="1" ref="B37:C37" ca="1">_xlfn.TEXTSPLIT(A37," ")</f>
        <v>#NAME?</v>
      </c>
      <c r="C37" s="58" t="e">
        <f ca="1"/>
        <v>#NAME?</v>
      </c>
      <c r="E37" s="58" t="s">
        <v>1115</v>
      </c>
      <c r="F37" s="58" t="s">
        <v>1116</v>
      </c>
      <c r="G37" s="58" t="str">
        <f t="shared" si="0"/>
        <v>loreto</v>
      </c>
      <c r="H37" s="58" t="str">
        <f t="shared" si="0"/>
        <v>vallejos</v>
      </c>
      <c r="I37" s="58" t="s">
        <v>1117</v>
      </c>
      <c r="J37" s="58" t="s">
        <v>1118</v>
      </c>
      <c r="K37" s="58" t="s">
        <v>876</v>
      </c>
      <c r="L37" s="63">
        <f>VLOOKUP(K37,all!$N$2:$O$156,2,FALSE)</f>
        <v>92</v>
      </c>
      <c r="M37" s="63">
        <v>0</v>
      </c>
    </row>
    <row r="38" spans="1:13" x14ac:dyDescent="0.35">
      <c r="A38" s="60" t="s">
        <v>1119</v>
      </c>
      <c r="B38" s="58" t="e" cm="1">
        <f t="array" aca="1" ref="B38:D38" ca="1">_xlfn.TEXTSPLIT(A38," ")</f>
        <v>#NAME?</v>
      </c>
      <c r="C38" s="58" t="e">
        <f ca="1"/>
        <v>#NAME?</v>
      </c>
      <c r="D38" s="58" t="e">
        <f ca="1"/>
        <v>#NAME?</v>
      </c>
      <c r="E38" s="58" t="s">
        <v>1115</v>
      </c>
      <c r="F38" s="58" t="s">
        <v>1120</v>
      </c>
      <c r="G38" s="58" t="str">
        <f t="shared" si="0"/>
        <v>loreto</v>
      </c>
      <c r="H38" s="58" t="str">
        <f t="shared" si="0"/>
        <v>vidal</v>
      </c>
      <c r="I38" s="58" t="s">
        <v>1117</v>
      </c>
      <c r="J38" s="58" t="s">
        <v>1121</v>
      </c>
      <c r="K38" s="58" t="s">
        <v>925</v>
      </c>
      <c r="L38" s="63">
        <f>VLOOKUP(K38,all!$N$2:$O$156,2,FALSE)</f>
        <v>142</v>
      </c>
      <c r="M38" s="63">
        <v>0</v>
      </c>
    </row>
    <row r="39" spans="1:13" x14ac:dyDescent="0.35">
      <c r="A39" s="60" t="s">
        <v>1122</v>
      </c>
      <c r="B39" s="58" t="e" cm="1">
        <f t="array" aca="1" ref="B39:C39" ca="1">_xlfn.TEXTSPLIT(A39," ")</f>
        <v>#NAME?</v>
      </c>
      <c r="C39" s="58" t="e">
        <f ca="1"/>
        <v>#NAME?</v>
      </c>
      <c r="E39" s="58" t="s">
        <v>1123</v>
      </c>
      <c r="F39" s="58" t="s">
        <v>1124</v>
      </c>
      <c r="G39" s="58" t="str">
        <f t="shared" si="0"/>
        <v>luis</v>
      </c>
      <c r="H39" s="58" t="str">
        <f t="shared" si="0"/>
        <v>jiménez</v>
      </c>
      <c r="I39" s="58" t="s">
        <v>1125</v>
      </c>
      <c r="J39" s="58" t="s">
        <v>1126</v>
      </c>
      <c r="K39" s="58" t="s">
        <v>878</v>
      </c>
      <c r="L39" s="63">
        <f>VLOOKUP(K39,all!$N$2:$O$156,2,FALSE)</f>
        <v>94</v>
      </c>
      <c r="M39" s="63">
        <v>0</v>
      </c>
    </row>
    <row r="40" spans="1:13" x14ac:dyDescent="0.35">
      <c r="A40" s="60" t="s">
        <v>1127</v>
      </c>
      <c r="B40" s="58" t="e" cm="1">
        <f t="array" aca="1" ref="B40:C40" ca="1">_xlfn.TEXTSPLIT(A40," ")</f>
        <v>#NAME?</v>
      </c>
      <c r="C40" s="58" t="e">
        <f ca="1"/>
        <v>#NAME?</v>
      </c>
      <c r="E40" s="58" t="s">
        <v>1128</v>
      </c>
      <c r="F40" s="58" t="s">
        <v>1129</v>
      </c>
      <c r="G40" s="58" t="str">
        <f t="shared" si="0"/>
        <v>manuel</v>
      </c>
      <c r="H40" s="58" t="str">
        <f t="shared" si="0"/>
        <v>woldarsky</v>
      </c>
      <c r="I40" s="58" t="s">
        <v>1130</v>
      </c>
      <c r="J40" s="58" t="s">
        <v>1131</v>
      </c>
      <c r="K40" s="58" t="s">
        <v>884</v>
      </c>
      <c r="L40" s="63">
        <f>VLOOKUP(K40,all!$N$2:$O$156,2,FALSE)</f>
        <v>100</v>
      </c>
      <c r="M40" s="63">
        <v>0</v>
      </c>
    </row>
    <row r="41" spans="1:13" x14ac:dyDescent="0.35">
      <c r="A41" s="60" t="s">
        <v>1207</v>
      </c>
      <c r="B41" s="58" t="e" cm="1">
        <f t="array" aca="1" ref="B41:C41" ca="1">_xlfn.TEXTSPLIT(A41," ")</f>
        <v>#NAME?</v>
      </c>
      <c r="C41" s="58" t="e">
        <f ca="1"/>
        <v>#NAME?</v>
      </c>
      <c r="E41" s="58" t="s">
        <v>1132</v>
      </c>
      <c r="F41" s="58" t="s">
        <v>1206</v>
      </c>
      <c r="G41" s="58" t="str">
        <f t="shared" si="0"/>
        <v>marco</v>
      </c>
      <c r="H41" s="58" t="str">
        <f t="shared" si="0"/>
        <v>arellano</v>
      </c>
      <c r="I41" s="58" t="s">
        <v>1133</v>
      </c>
      <c r="J41" s="58" t="s">
        <v>1205</v>
      </c>
      <c r="K41" s="58" t="s">
        <v>887</v>
      </c>
      <c r="L41" s="63">
        <f>VLOOKUP(K41,all!$N$2:$O$156,2,FALSE)</f>
        <v>103</v>
      </c>
      <c r="M41" s="63">
        <v>0</v>
      </c>
    </row>
    <row r="42" spans="1:13" x14ac:dyDescent="0.35">
      <c r="A42" s="60" t="s">
        <v>1134</v>
      </c>
      <c r="B42" s="58" t="e" cm="1">
        <f t="array" aca="1" ref="B42:D42" ca="1">_xlfn.TEXTSPLIT(A42," ")</f>
        <v>#NAME?</v>
      </c>
      <c r="C42" s="58" t="e">
        <f ca="1"/>
        <v>#NAME?</v>
      </c>
      <c r="D42" s="58" t="e">
        <f ca="1"/>
        <v>#NAME?</v>
      </c>
      <c r="E42" s="58" t="s">
        <v>1135</v>
      </c>
      <c r="F42" s="58" t="s">
        <v>1136</v>
      </c>
      <c r="G42" s="58" t="str">
        <f t="shared" si="0"/>
        <v>maría elisa</v>
      </c>
      <c r="H42" s="58" t="str">
        <f t="shared" si="0"/>
        <v>quinteros</v>
      </c>
      <c r="I42" s="58" t="s">
        <v>1137</v>
      </c>
      <c r="J42" s="58" t="s">
        <v>1138</v>
      </c>
      <c r="K42" s="58" t="s">
        <v>892</v>
      </c>
      <c r="L42" s="63">
        <f>VLOOKUP(K42,all!$N$2:$O$156,2,FALSE)</f>
        <v>108</v>
      </c>
      <c r="M42" s="63">
        <v>0</v>
      </c>
    </row>
    <row r="43" spans="1:13" x14ac:dyDescent="0.35">
      <c r="A43" s="60" t="s">
        <v>1139</v>
      </c>
      <c r="B43" s="58" t="e" cm="1">
        <f t="array" aca="1" ref="B43:D43" ca="1">_xlfn.TEXTSPLIT(A43," ")</f>
        <v>#NAME?</v>
      </c>
      <c r="C43" s="58" t="e">
        <f ca="1"/>
        <v>#NAME?</v>
      </c>
      <c r="D43" s="58" t="e">
        <f ca="1"/>
        <v>#NAME?</v>
      </c>
      <c r="E43" s="58" t="s">
        <v>1140</v>
      </c>
      <c r="F43" s="58" t="s">
        <v>1141</v>
      </c>
      <c r="G43" s="58" t="str">
        <f t="shared" si="0"/>
        <v>maría trinidad</v>
      </c>
      <c r="H43" s="58" t="str">
        <f t="shared" si="0"/>
        <v>castillo</v>
      </c>
      <c r="I43" s="58" t="s">
        <v>1142</v>
      </c>
      <c r="J43" s="58" t="s">
        <v>1143</v>
      </c>
      <c r="K43" s="58" t="s">
        <v>896</v>
      </c>
      <c r="L43" s="63">
        <f>VLOOKUP(K43,all!$N$2:$O$156,2,FALSE)</f>
        <v>112</v>
      </c>
      <c r="M43" s="63">
        <v>0</v>
      </c>
    </row>
    <row r="44" spans="1:13" x14ac:dyDescent="0.35">
      <c r="A44" s="60" t="s">
        <v>1144</v>
      </c>
      <c r="B44" s="58" t="e" cm="1">
        <f t="array" aca="1" ref="B44:D44" ca="1">_xlfn.TEXTSPLIT(A44," ")</f>
        <v>#NAME?</v>
      </c>
      <c r="C44" s="58" t="e">
        <f ca="1"/>
        <v>#NAME?</v>
      </c>
      <c r="D44" s="58" t="e">
        <f ca="1"/>
        <v>#NAME?</v>
      </c>
      <c r="E44" s="58" t="s">
        <v>1145</v>
      </c>
      <c r="F44" s="58" t="s">
        <v>1146</v>
      </c>
      <c r="G44" s="58" t="str">
        <f t="shared" si="0"/>
        <v>mauricio</v>
      </c>
      <c r="H44" s="58" t="str">
        <f t="shared" si="0"/>
        <v>daza</v>
      </c>
      <c r="I44" s="58" t="s">
        <v>1147</v>
      </c>
      <c r="J44" s="58" t="s">
        <v>1148</v>
      </c>
      <c r="K44" s="58" t="s">
        <v>900</v>
      </c>
      <c r="L44" s="63">
        <f>VLOOKUP(K44,all!$N$2:$O$156,2,FALSE)</f>
        <v>116</v>
      </c>
      <c r="M44" s="63">
        <v>0</v>
      </c>
    </row>
    <row r="45" spans="1:13" x14ac:dyDescent="0.35">
      <c r="A45" s="60" t="s">
        <v>1149</v>
      </c>
      <c r="B45" s="58" t="e" cm="1">
        <f t="array" aca="1" ref="B45:C45" ca="1">_xlfn.TEXTSPLIT(A45," ")</f>
        <v>#NAME?</v>
      </c>
      <c r="C45" s="58" t="e">
        <f ca="1"/>
        <v>#NAME?</v>
      </c>
      <c r="E45" s="58" t="s">
        <v>1150</v>
      </c>
      <c r="F45" s="58" t="s">
        <v>1151</v>
      </c>
      <c r="G45" s="58" t="str">
        <f t="shared" si="0"/>
        <v>miguel</v>
      </c>
      <c r="H45" s="58" t="str">
        <f t="shared" si="0"/>
        <v>botto</v>
      </c>
      <c r="I45" s="58" t="s">
        <v>1152</v>
      </c>
      <c r="J45" s="58" t="s">
        <v>1153</v>
      </c>
      <c r="K45" s="58" t="s">
        <v>902</v>
      </c>
      <c r="L45" s="63">
        <f>VLOOKUP(K45,all!$N$2:$O$156,2,FALSE)</f>
        <v>118</v>
      </c>
      <c r="M45" s="63">
        <v>0</v>
      </c>
    </row>
    <row r="46" spans="1:13" x14ac:dyDescent="0.35">
      <c r="A46" s="60" t="s">
        <v>1154</v>
      </c>
      <c r="B46" s="58" t="e" cm="1">
        <f t="array" aca="1" ref="B46:D46" ca="1">_xlfn.TEXTSPLIT(A46," ")</f>
        <v>#NAME?</v>
      </c>
      <c r="C46" s="58" t="e">
        <f ca="1"/>
        <v>#NAME?</v>
      </c>
      <c r="D46" s="58" t="e">
        <f ca="1"/>
        <v>#NAME?</v>
      </c>
      <c r="E46" s="58" t="s">
        <v>1155</v>
      </c>
      <c r="F46" s="58" t="s">
        <v>1156</v>
      </c>
      <c r="G46" s="58" t="str">
        <f t="shared" si="0"/>
        <v>natalia</v>
      </c>
      <c r="H46" s="58" t="str">
        <f t="shared" si="0"/>
        <v>henríquez</v>
      </c>
      <c r="I46" s="58" t="s">
        <v>1157</v>
      </c>
      <c r="J46" s="58" t="s">
        <v>1158</v>
      </c>
      <c r="K46" s="58" t="s">
        <v>903</v>
      </c>
      <c r="L46" s="63">
        <f>VLOOKUP(K46,all!$N$2:$O$156,2,FALSE)</f>
        <v>119</v>
      </c>
      <c r="M46" s="63">
        <v>0</v>
      </c>
    </row>
    <row r="47" spans="1:13" x14ac:dyDescent="0.35">
      <c r="A47" s="60" t="s">
        <v>1159</v>
      </c>
      <c r="B47" s="58" t="e" cm="1">
        <f t="array" aca="1" ref="B47:C47" ca="1">_xlfn.TEXTSPLIT(A47," ")</f>
        <v>#NAME?</v>
      </c>
      <c r="C47" s="58" t="e">
        <f ca="1"/>
        <v>#NAME?</v>
      </c>
      <c r="E47" s="58" t="s">
        <v>1160</v>
      </c>
      <c r="F47" s="58" t="s">
        <v>1161</v>
      </c>
      <c r="G47" s="58" t="str">
        <f t="shared" si="0"/>
        <v>natividad</v>
      </c>
      <c r="H47" s="58" t="str">
        <f t="shared" si="0"/>
        <v>llanquileo</v>
      </c>
      <c r="I47" s="58" t="s">
        <v>1162</v>
      </c>
      <c r="J47" s="58" t="s">
        <v>1163</v>
      </c>
      <c r="K47" s="58" t="s">
        <v>904</v>
      </c>
      <c r="L47" s="63">
        <f>VLOOKUP(K47,all!$N$2:$O$156,2,FALSE)</f>
        <v>120</v>
      </c>
      <c r="M47" s="63">
        <v>0</v>
      </c>
    </row>
    <row r="48" spans="1:13" x14ac:dyDescent="0.35">
      <c r="A48" s="60" t="s">
        <v>1164</v>
      </c>
      <c r="B48" s="58" t="e" cm="1">
        <f t="array" aca="1" ref="B48:C48" ca="1">_xlfn.TEXTSPLIT(A48," ")</f>
        <v>#NAME?</v>
      </c>
      <c r="C48" s="58" t="e">
        <f ca="1"/>
        <v>#NAME?</v>
      </c>
      <c r="E48" s="58" t="s">
        <v>1165</v>
      </c>
      <c r="F48" s="58" t="s">
        <v>1166</v>
      </c>
      <c r="G48" s="58" t="str">
        <f t="shared" si="0"/>
        <v>patricia</v>
      </c>
      <c r="H48" s="58" t="str">
        <f t="shared" si="0"/>
        <v>politzer</v>
      </c>
      <c r="I48" s="58" t="s">
        <v>1167</v>
      </c>
      <c r="J48" s="58" t="s">
        <v>1168</v>
      </c>
      <c r="K48" s="58" t="s">
        <v>909</v>
      </c>
      <c r="L48" s="63">
        <f>VLOOKUP(K48,all!$N$2:$O$156,2,FALSE)</f>
        <v>125</v>
      </c>
      <c r="M48" s="63">
        <v>0</v>
      </c>
    </row>
    <row r="49" spans="1:13" x14ac:dyDescent="0.35">
      <c r="A49" s="61" t="s">
        <v>1169</v>
      </c>
      <c r="B49" s="58" t="e" cm="1">
        <f t="array" aca="1" ref="B49:C49" ca="1">_xlfn.TEXTSPLIT(A49," ")</f>
        <v>#NAME?</v>
      </c>
      <c r="C49" s="58" t="e">
        <f ca="1"/>
        <v>#NAME?</v>
      </c>
      <c r="E49" s="58" t="s">
        <v>1170</v>
      </c>
      <c r="F49" s="58" t="s">
        <v>1171</v>
      </c>
      <c r="G49" s="58" t="str">
        <f t="shared" si="0"/>
        <v>paulina</v>
      </c>
      <c r="H49" s="58" t="str">
        <f t="shared" si="0"/>
        <v>valenzuela</v>
      </c>
      <c r="I49" s="58" t="s">
        <v>1172</v>
      </c>
      <c r="J49" s="58" t="s">
        <v>1173</v>
      </c>
      <c r="K49" s="58" t="s">
        <v>912</v>
      </c>
      <c r="L49" s="63">
        <f>VLOOKUP(K49,all!$N$2:$O$156,2,FALSE)</f>
        <v>128</v>
      </c>
      <c r="M49" s="63">
        <v>0</v>
      </c>
    </row>
    <row r="50" spans="1:13" x14ac:dyDescent="0.35">
      <c r="A50" s="62" t="s">
        <v>1174</v>
      </c>
      <c r="B50" s="58" t="e" cm="1">
        <f t="array" aca="1" ref="B50:C50" ca="1">_xlfn.TEXTSPLIT(A50," ")</f>
        <v>#NAME?</v>
      </c>
      <c r="C50" s="58" t="e">
        <f ca="1"/>
        <v>#NAME?</v>
      </c>
      <c r="E50" s="58" t="s">
        <v>1175</v>
      </c>
      <c r="F50" s="58" t="s">
        <v>1176</v>
      </c>
      <c r="G50" s="58" t="str">
        <f t="shared" si="0"/>
        <v>rodrigo</v>
      </c>
      <c r="H50" s="58" t="str">
        <f t="shared" si="0"/>
        <v>logan</v>
      </c>
      <c r="I50" s="58" t="s">
        <v>1177</v>
      </c>
      <c r="J50" s="58" t="s">
        <v>1178</v>
      </c>
      <c r="K50" s="58" t="s">
        <v>923</v>
      </c>
      <c r="L50" s="63">
        <f>VLOOKUP(K50,all!$N$2:$O$156,2,FALSE)</f>
        <v>139</v>
      </c>
      <c r="M50" s="63">
        <v>0</v>
      </c>
    </row>
    <row r="51" spans="1:13" x14ac:dyDescent="0.35">
      <c r="A51" s="62" t="s">
        <v>1179</v>
      </c>
      <c r="B51" s="58" t="e" cm="1">
        <f t="array" aca="1" ref="B51:C51" ca="1">_xlfn.TEXTSPLIT(A51," ")</f>
        <v>#NAME?</v>
      </c>
      <c r="C51" s="58" t="e">
        <f ca="1"/>
        <v>#NAME?</v>
      </c>
      <c r="E51" s="58" t="s">
        <v>1175</v>
      </c>
      <c r="F51" s="58" t="s">
        <v>1180</v>
      </c>
      <c r="G51" s="58" t="str">
        <f t="shared" si="0"/>
        <v>rodrigo</v>
      </c>
      <c r="H51" s="58" t="str">
        <f t="shared" si="0"/>
        <v>rojas</v>
      </c>
      <c r="I51" s="58" t="s">
        <v>1177</v>
      </c>
      <c r="J51" s="58" t="s">
        <v>1181</v>
      </c>
      <c r="K51" s="58" t="s">
        <v>939</v>
      </c>
      <c r="L51" s="63">
        <f>VLOOKUP(K51,all!$N$2:$O$156,2,FALSE)</f>
        <v>140</v>
      </c>
      <c r="M51" s="63">
        <v>0</v>
      </c>
    </row>
    <row r="52" spans="1:13" x14ac:dyDescent="0.35">
      <c r="A52" s="62" t="s">
        <v>1182</v>
      </c>
      <c r="B52" s="58" t="e" cm="1">
        <f t="array" aca="1" ref="B52:C52" ca="1">_xlfn.TEXTSPLIT(A52," ")</f>
        <v>#NAME?</v>
      </c>
      <c r="C52" s="58" t="e">
        <f ca="1"/>
        <v>#NAME?</v>
      </c>
      <c r="E52" s="58" t="s">
        <v>1183</v>
      </c>
      <c r="F52" s="58" t="s">
        <v>1184</v>
      </c>
      <c r="G52" s="58" t="str">
        <f t="shared" si="0"/>
        <v>rosa</v>
      </c>
      <c r="H52" s="58" t="str">
        <f t="shared" si="0"/>
        <v>catrileo</v>
      </c>
      <c r="I52" s="58" t="s">
        <v>1185</v>
      </c>
      <c r="J52" s="58" t="s">
        <v>1186</v>
      </c>
      <c r="K52" s="58" t="s">
        <v>924</v>
      </c>
      <c r="L52" s="63">
        <f>VLOOKUP(K52,all!$N$2:$O$156,2,FALSE)</f>
        <v>141</v>
      </c>
      <c r="M52" s="63">
        <v>0</v>
      </c>
    </row>
    <row r="53" spans="1:13" x14ac:dyDescent="0.35">
      <c r="A53" s="62" t="s">
        <v>1187</v>
      </c>
      <c r="B53" s="58" t="e" cm="1">
        <f t="array" aca="1" ref="B53:D53" ca="1">_xlfn.TEXTSPLIT(A53," ")</f>
        <v>#NAME?</v>
      </c>
      <c r="C53" s="58" t="e">
        <f ca="1"/>
        <v>#NAME?</v>
      </c>
      <c r="D53" s="58" t="e">
        <f ca="1"/>
        <v>#NAME?</v>
      </c>
      <c r="E53" s="58" t="s">
        <v>1188</v>
      </c>
      <c r="F53" s="58" t="s">
        <v>1189</v>
      </c>
      <c r="G53" s="58" t="str">
        <f t="shared" si="0"/>
        <v>tammy</v>
      </c>
      <c r="H53" s="58" t="str">
        <f t="shared" si="0"/>
        <v>pustilnick</v>
      </c>
      <c r="I53" s="58" t="s">
        <v>1190</v>
      </c>
      <c r="J53" s="58" t="s">
        <v>1191</v>
      </c>
      <c r="K53" s="58" t="s">
        <v>928</v>
      </c>
      <c r="L53" s="63">
        <f>VLOOKUP(K53,all!$N$2:$O$156,2,FALSE)</f>
        <v>145</v>
      </c>
      <c r="M53" s="63">
        <v>0</v>
      </c>
    </row>
    <row r="54" spans="1:13" x14ac:dyDescent="0.35">
      <c r="A54" s="62" t="s">
        <v>1192</v>
      </c>
      <c r="B54" s="58" t="e" cm="1">
        <f t="array" aca="1" ref="B54:C54" ca="1">_xlfn.TEXTSPLIT(A54," ")</f>
        <v>#NAME?</v>
      </c>
      <c r="C54" s="58" t="e">
        <f ca="1"/>
        <v>#NAME?</v>
      </c>
      <c r="E54" s="58" t="s">
        <v>1193</v>
      </c>
      <c r="F54" s="58" t="s">
        <v>1194</v>
      </c>
      <c r="G54" s="58" t="str">
        <f t="shared" si="0"/>
        <v>tiare</v>
      </c>
      <c r="H54" s="58" t="str">
        <f t="shared" si="0"/>
        <v>aguilera</v>
      </c>
      <c r="I54" s="58" t="s">
        <v>1195</v>
      </c>
      <c r="J54" s="58" t="s">
        <v>1196</v>
      </c>
      <c r="K54" s="58" t="s">
        <v>932</v>
      </c>
      <c r="L54" s="63">
        <f>VLOOKUP(K54,all!$N$2:$O$156,2,FALSE)</f>
        <v>149</v>
      </c>
      <c r="M54" s="63">
        <v>0</v>
      </c>
    </row>
    <row r="55" spans="1:13" x14ac:dyDescent="0.35">
      <c r="A55" s="62" t="s">
        <v>1197</v>
      </c>
      <c r="B55" s="58" t="e" cm="1">
        <f t="array" aca="1" ref="B55:C55" ca="1">_xlfn.TEXTSPLIT(A55," ")</f>
        <v>#NAME?</v>
      </c>
      <c r="C55" s="58" t="e">
        <f ca="1"/>
        <v>#NAME?</v>
      </c>
      <c r="E55" s="58" t="s">
        <v>1198</v>
      </c>
      <c r="F55" s="58" t="s">
        <v>1199</v>
      </c>
      <c r="G55" s="58" t="str">
        <f t="shared" si="0"/>
        <v>victorino</v>
      </c>
      <c r="H55" s="58" t="str">
        <f t="shared" si="0"/>
        <v>antilef</v>
      </c>
      <c r="I55" s="58" t="s">
        <v>1200</v>
      </c>
      <c r="J55" s="58" t="s">
        <v>1201</v>
      </c>
      <c r="K55" s="58" t="s">
        <v>936</v>
      </c>
      <c r="L55" s="63">
        <f>VLOOKUP(K55,all!$N$2:$O$156,2,FALSE)</f>
        <v>153</v>
      </c>
      <c r="M55" s="63">
        <v>0</v>
      </c>
    </row>
    <row r="56" spans="1:13" x14ac:dyDescent="0.35">
      <c r="A56" s="62" t="s">
        <v>1208</v>
      </c>
      <c r="B56" s="58" t="e" cm="1">
        <f t="array" aca="1" ref="B56:C56" ca="1">_xlfn.TEXTSPLIT(A56," ")</f>
        <v>#NAME?</v>
      </c>
      <c r="C56" s="58" t="e">
        <f ca="1"/>
        <v>#NAME?</v>
      </c>
      <c r="E56" s="58" t="s">
        <v>1202</v>
      </c>
      <c r="F56" s="58" t="s">
        <v>1209</v>
      </c>
      <c r="G56" s="58" t="str">
        <f t="shared" si="0"/>
        <v>wilfredo</v>
      </c>
      <c r="H56" s="58" t="str">
        <f t="shared" si="0"/>
        <v>bacián</v>
      </c>
      <c r="I56" s="58" t="s">
        <v>1203</v>
      </c>
      <c r="J56" s="58" t="s">
        <v>1210</v>
      </c>
      <c r="K56" s="58" t="s">
        <v>937</v>
      </c>
      <c r="L56" s="63">
        <f>VLOOKUP(K56,all!$N$2:$O$156,2,FALSE)</f>
        <v>154</v>
      </c>
      <c r="M56" s="63">
        <v>0</v>
      </c>
    </row>
  </sheetData>
  <mergeCells count="4">
    <mergeCell ref="B1:C1"/>
    <mergeCell ref="E1:F1"/>
    <mergeCell ref="G1:H1"/>
    <mergeCell ref="I1:J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3"/>
  <dimension ref="A1:N49"/>
  <sheetViews>
    <sheetView workbookViewId="0">
      <selection activeCell="L2" sqref="L2:N49"/>
    </sheetView>
  </sheetViews>
  <sheetFormatPr defaultColWidth="9" defaultRowHeight="12.5" x14ac:dyDescent="0.25"/>
  <cols>
    <col min="1" max="1" width="19.25" style="67" bestFit="1" customWidth="1"/>
    <col min="2" max="2" width="8" style="67" customWidth="1"/>
    <col min="3" max="11" width="9" style="67"/>
    <col min="12" max="12" width="18.25" style="67" bestFit="1" customWidth="1"/>
    <col min="13" max="16384" width="9" style="67"/>
  </cols>
  <sheetData>
    <row r="1" spans="1:14" ht="13.5" thickBot="1" x14ac:dyDescent="0.35">
      <c r="A1" s="64" t="s">
        <v>1211</v>
      </c>
      <c r="B1" s="96" t="s">
        <v>1212</v>
      </c>
      <c r="C1" s="96"/>
      <c r="D1" s="65"/>
      <c r="E1" s="65"/>
      <c r="F1" s="96" t="s">
        <v>942</v>
      </c>
      <c r="G1" s="96"/>
      <c r="H1" s="96" t="s">
        <v>583</v>
      </c>
      <c r="I1" s="96"/>
      <c r="J1" s="96" t="s">
        <v>943</v>
      </c>
      <c r="K1" s="96"/>
      <c r="L1" s="66" t="s">
        <v>1213</v>
      </c>
      <c r="M1" s="66" t="s">
        <v>1428</v>
      </c>
      <c r="N1" s="66" t="s">
        <v>1644</v>
      </c>
    </row>
    <row r="2" spans="1:14" ht="13" x14ac:dyDescent="0.25">
      <c r="A2" s="68" t="s">
        <v>1214</v>
      </c>
      <c r="B2" s="67" t="e" cm="1">
        <f t="array" aca="1" ref="B2:C2" ca="1">_xlfn.TEXTSPLIT(A2," ")</f>
        <v>#NAME?</v>
      </c>
      <c r="C2" s="67" t="e">
        <f ca="1"/>
        <v>#NAME?</v>
      </c>
      <c r="F2" s="67" t="s">
        <v>1215</v>
      </c>
      <c r="G2" s="67" t="s">
        <v>1216</v>
      </c>
      <c r="H2" s="67" t="str">
        <f>LOWER(F2)</f>
        <v>adolfo</v>
      </c>
      <c r="I2" s="67" t="str">
        <f>LOWER(G2)</f>
        <v>millabur</v>
      </c>
      <c r="J2" s="67" t="s">
        <v>1217</v>
      </c>
      <c r="K2" s="67" t="s">
        <v>1218</v>
      </c>
      <c r="L2" s="69" t="str">
        <f>CONCATENATE(K2,", ",J2)</f>
        <v>millabur, adolfo</v>
      </c>
      <c r="M2" s="69">
        <f>VLOOKUP(L2,all!$N$2:$O$156,2,FALSE)</f>
        <v>1</v>
      </c>
      <c r="N2" s="69">
        <v>1</v>
      </c>
    </row>
    <row r="3" spans="1:14" ht="13" x14ac:dyDescent="0.25">
      <c r="A3" s="70" t="s">
        <v>1219</v>
      </c>
      <c r="B3" s="67" t="e" cm="1">
        <f t="array" aca="1" ref="B3:C3" ca="1">_xlfn.TEXTSPLIT(A3," ")</f>
        <v>#NAME?</v>
      </c>
      <c r="C3" s="67" t="e">
        <f ca="1"/>
        <v>#NAME?</v>
      </c>
      <c r="F3" s="67" t="s">
        <v>946</v>
      </c>
      <c r="G3" s="67" t="s">
        <v>1220</v>
      </c>
      <c r="H3" s="67" t="str">
        <f t="shared" ref="H3:I49" si="0">LOWER(F3)</f>
        <v>adriana</v>
      </c>
      <c r="I3" s="67" t="str">
        <f t="shared" si="0"/>
        <v>cancino</v>
      </c>
      <c r="J3" s="67" t="s">
        <v>948</v>
      </c>
      <c r="K3" s="67" t="s">
        <v>1221</v>
      </c>
      <c r="L3" s="69" t="str">
        <f t="shared" ref="L3:L49" si="1">CONCATENATE(K3,", ",J3)</f>
        <v>cancino, adriana</v>
      </c>
      <c r="M3" s="69">
        <f>VLOOKUP(L3,all!$N$2:$O$156,2,FALSE)</f>
        <v>3</v>
      </c>
      <c r="N3" s="69">
        <v>1</v>
      </c>
    </row>
    <row r="4" spans="1:14" ht="13" x14ac:dyDescent="0.25">
      <c r="A4" s="70" t="s">
        <v>1222</v>
      </c>
      <c r="B4" s="67" t="e" cm="1">
        <f t="array" aca="1" ref="B4:C4" ca="1">_xlfn.TEXTSPLIT(A4," ")</f>
        <v>#NAME?</v>
      </c>
      <c r="C4" s="67" t="e">
        <f ca="1"/>
        <v>#NAME?</v>
      </c>
      <c r="F4" s="67" t="s">
        <v>1223</v>
      </c>
      <c r="G4" s="67" t="s">
        <v>1224</v>
      </c>
      <c r="H4" s="67" t="str">
        <f t="shared" si="0"/>
        <v>agustín</v>
      </c>
      <c r="I4" s="67" t="str">
        <f t="shared" si="0"/>
        <v>squella</v>
      </c>
      <c r="J4" s="67" t="s">
        <v>1225</v>
      </c>
      <c r="K4" s="67" t="s">
        <v>1226</v>
      </c>
      <c r="L4" s="69" t="str">
        <f t="shared" si="1"/>
        <v>squella, agustin</v>
      </c>
      <c r="M4" s="69">
        <f>VLOOKUP(L4,all!$N$2:$O$156,2,FALSE)</f>
        <v>4</v>
      </c>
      <c r="N4" s="69">
        <v>1</v>
      </c>
    </row>
    <row r="5" spans="1:14" ht="13" x14ac:dyDescent="0.25">
      <c r="A5" s="70" t="s">
        <v>1227</v>
      </c>
      <c r="B5" s="67" t="e" cm="1">
        <f t="array" aca="1" ref="B5:C5" ca="1">_xlfn.TEXTSPLIT(A5," ")</f>
        <v>#NAME?</v>
      </c>
      <c r="C5" s="67" t="e">
        <f ca="1"/>
        <v>#NAME?</v>
      </c>
      <c r="F5" s="67" t="s">
        <v>1228</v>
      </c>
      <c r="G5" s="67" t="s">
        <v>1229</v>
      </c>
      <c r="H5" s="67" t="str">
        <f t="shared" si="0"/>
        <v>alfredo</v>
      </c>
      <c r="I5" s="67" t="str">
        <f t="shared" si="0"/>
        <v>moreno</v>
      </c>
      <c r="J5" s="67" t="s">
        <v>1230</v>
      </c>
      <c r="K5" s="67" t="s">
        <v>1231</v>
      </c>
      <c r="L5" s="69" t="str">
        <f t="shared" si="1"/>
        <v>moreno, alfredo</v>
      </c>
      <c r="M5" s="69">
        <f>VLOOKUP(L5,all!$N$2:$O$156,2,FALSE)</f>
        <v>8</v>
      </c>
      <c r="N5" s="69">
        <v>1</v>
      </c>
    </row>
    <row r="6" spans="1:14" ht="13" x14ac:dyDescent="0.25">
      <c r="A6" s="70" t="s">
        <v>1232</v>
      </c>
      <c r="B6" s="67" t="e" cm="1">
        <f t="array" aca="1" ref="B6:C6" ca="1">_xlfn.TEXTSPLIT(A6," ")</f>
        <v>#NAME?</v>
      </c>
      <c r="C6" s="67" t="e">
        <f ca="1"/>
        <v>#NAME?</v>
      </c>
      <c r="F6" s="67" t="s">
        <v>1233</v>
      </c>
      <c r="G6" s="67" t="s">
        <v>1234</v>
      </c>
      <c r="H6" s="67" t="str">
        <f t="shared" si="0"/>
        <v>andrés</v>
      </c>
      <c r="I6" s="67" t="str">
        <f t="shared" si="0"/>
        <v>cruz</v>
      </c>
      <c r="J6" s="67" t="s">
        <v>1235</v>
      </c>
      <c r="K6" s="67" t="s">
        <v>1236</v>
      </c>
      <c r="L6" s="69" t="str">
        <f t="shared" si="1"/>
        <v>cruz, andres</v>
      </c>
      <c r="M6" s="69">
        <f>VLOOKUP(L6,all!$N$2:$O$156,2,FALSE)</f>
        <v>13</v>
      </c>
      <c r="N6" s="69">
        <v>1</v>
      </c>
    </row>
    <row r="7" spans="1:14" ht="13" x14ac:dyDescent="0.25">
      <c r="A7" s="70" t="s">
        <v>1237</v>
      </c>
      <c r="B7" s="67" t="e" cm="1">
        <f t="array" aca="1" ref="B7:C7" ca="1">_xlfn.TEXTSPLIT(A7," ")</f>
        <v>#NAME?</v>
      </c>
      <c r="C7" s="67" t="e">
        <f ca="1"/>
        <v>#NAME?</v>
      </c>
      <c r="F7" s="67" t="s">
        <v>1238</v>
      </c>
      <c r="G7" s="67" t="s">
        <v>1239</v>
      </c>
      <c r="H7" s="67" t="str">
        <f t="shared" si="0"/>
        <v>aurora</v>
      </c>
      <c r="I7" s="67" t="str">
        <f t="shared" si="0"/>
        <v>delgado</v>
      </c>
      <c r="J7" s="67" t="s">
        <v>1240</v>
      </c>
      <c r="K7" s="67" t="s">
        <v>1241</v>
      </c>
      <c r="L7" s="69" t="str">
        <f t="shared" si="1"/>
        <v>delgado, aurora</v>
      </c>
      <c r="M7" s="69">
        <f>VLOOKUP(L7,all!$N$2:$O$156,2,FALSE)</f>
        <v>14</v>
      </c>
      <c r="N7" s="69">
        <v>1</v>
      </c>
    </row>
    <row r="8" spans="1:14" ht="13" x14ac:dyDescent="0.25">
      <c r="A8" s="70" t="s">
        <v>1242</v>
      </c>
      <c r="B8" s="67" t="e" cm="1">
        <f t="array" aca="1" ref="B8:C8" ca="1">_xlfn.TEXTSPLIT(A8," ")</f>
        <v>#NAME?</v>
      </c>
      <c r="C8" s="67" t="e">
        <f ca="1"/>
        <v>#NAME?</v>
      </c>
      <c r="F8" s="67" t="s">
        <v>1243</v>
      </c>
      <c r="G8" s="67" t="s">
        <v>1244</v>
      </c>
      <c r="H8" s="67" t="str">
        <f t="shared" si="0"/>
        <v>bárbara</v>
      </c>
      <c r="I8" s="67" t="str">
        <f t="shared" si="0"/>
        <v>rebolledo</v>
      </c>
      <c r="J8" s="67" t="s">
        <v>1245</v>
      </c>
      <c r="K8" s="67" t="s">
        <v>1246</v>
      </c>
      <c r="L8" s="69" t="str">
        <f t="shared" si="1"/>
        <v>rebolledo, barbara</v>
      </c>
      <c r="M8" s="69">
        <f>VLOOKUP(L8,all!$N$2:$O$156,2,FALSE)</f>
        <v>15</v>
      </c>
      <c r="N8" s="69">
        <v>1</v>
      </c>
    </row>
    <row r="9" spans="1:14" ht="13" x14ac:dyDescent="0.25">
      <c r="A9" s="70" t="s">
        <v>1247</v>
      </c>
      <c r="B9" s="67" t="e" cm="1">
        <f t="array" aca="1" ref="B9:C9" ca="1">_xlfn.TEXTSPLIT(A9," ")</f>
        <v>#NAME?</v>
      </c>
      <c r="C9" s="67" t="e">
        <f ca="1"/>
        <v>#NAME?</v>
      </c>
      <c r="F9" s="67" t="s">
        <v>1248</v>
      </c>
      <c r="G9" s="67" t="s">
        <v>1249</v>
      </c>
      <c r="H9" s="67" t="str">
        <f t="shared" si="0"/>
        <v>beatriz</v>
      </c>
      <c r="I9" s="67" t="str">
        <f t="shared" si="0"/>
        <v>sánchez</v>
      </c>
      <c r="J9" s="67" t="s">
        <v>1250</v>
      </c>
      <c r="K9" s="67" t="s">
        <v>1251</v>
      </c>
      <c r="L9" s="69" t="str">
        <f t="shared" si="1"/>
        <v>sanchez, beatriz</v>
      </c>
      <c r="M9" s="69">
        <f>VLOOKUP(L9,all!$N$2:$O$156,2,FALSE)</f>
        <v>18</v>
      </c>
      <c r="N9" s="69">
        <v>1</v>
      </c>
    </row>
    <row r="10" spans="1:14" ht="13" x14ac:dyDescent="0.25">
      <c r="A10" s="70" t="s">
        <v>1252</v>
      </c>
      <c r="B10" s="67" t="e" cm="1">
        <f t="array" aca="1" ref="B10:E10" ca="1">_xlfn.TEXTSPLIT(A10," ")</f>
        <v>#NAME?</v>
      </c>
      <c r="C10" s="67" t="e">
        <f ca="1"/>
        <v>#NAME?</v>
      </c>
      <c r="D10" s="67" t="e">
        <f ca="1"/>
        <v>#NAME?</v>
      </c>
      <c r="E10" s="67" t="e">
        <f ca="1"/>
        <v>#NAME?</v>
      </c>
      <c r="F10" s="67" t="s">
        <v>1253</v>
      </c>
      <c r="G10" s="67" t="s">
        <v>1254</v>
      </c>
      <c r="H10" s="67" t="str">
        <f t="shared" si="0"/>
        <v>bernardo</v>
      </c>
      <c r="I10" s="67" t="str">
        <f t="shared" si="0"/>
        <v>de la maza</v>
      </c>
      <c r="J10" s="67" t="s">
        <v>1255</v>
      </c>
      <c r="K10" s="67" t="s">
        <v>1256</v>
      </c>
      <c r="L10" s="69" t="str">
        <f t="shared" si="1"/>
        <v>de la maza, bernardo</v>
      </c>
      <c r="M10" s="69">
        <f>VLOOKUP(L10,all!$N$2:$O$156,2,FALSE)</f>
        <v>20</v>
      </c>
      <c r="N10" s="69">
        <v>1</v>
      </c>
    </row>
    <row r="11" spans="1:14" ht="13" x14ac:dyDescent="0.25">
      <c r="A11" s="70" t="s">
        <v>1257</v>
      </c>
      <c r="B11" s="67" t="e" cm="1">
        <f t="array" aca="1" ref="B11:C11" ca="1">_xlfn.TEXTSPLIT(A11," ")</f>
        <v>#NAME?</v>
      </c>
      <c r="C11" s="67" t="e">
        <f ca="1"/>
        <v>#NAME?</v>
      </c>
      <c r="F11" s="67" t="s">
        <v>1253</v>
      </c>
      <c r="G11" s="67" t="s">
        <v>1258</v>
      </c>
      <c r="H11" s="67" t="str">
        <f t="shared" si="0"/>
        <v>bernardo</v>
      </c>
      <c r="I11" s="67" t="str">
        <f t="shared" si="0"/>
        <v>fontaine</v>
      </c>
      <c r="J11" s="67" t="s">
        <v>1255</v>
      </c>
      <c r="K11" s="67" t="s">
        <v>1259</v>
      </c>
      <c r="L11" s="69" t="str">
        <f t="shared" si="1"/>
        <v>fontaine, bernardo</v>
      </c>
      <c r="M11" s="69">
        <f>VLOOKUP(L11,all!$N$2:$O$156,2,FALSE)</f>
        <v>21</v>
      </c>
      <c r="N11" s="69">
        <v>1</v>
      </c>
    </row>
    <row r="12" spans="1:14" ht="13" x14ac:dyDescent="0.25">
      <c r="A12" s="70" t="s">
        <v>1260</v>
      </c>
      <c r="B12" s="67" t="e" cm="1">
        <f t="array" aca="1" ref="B12:C12" ca="1">_xlfn.TEXTSPLIT(A12," ")</f>
        <v>#NAME?</v>
      </c>
      <c r="C12" s="67" t="e">
        <f ca="1"/>
        <v>#NAME?</v>
      </c>
      <c r="F12" s="67" t="s">
        <v>1261</v>
      </c>
      <c r="G12" s="67" t="s">
        <v>1262</v>
      </c>
      <c r="H12" s="67" t="str">
        <f t="shared" si="0"/>
        <v>bessy</v>
      </c>
      <c r="I12" s="67" t="str">
        <f t="shared" si="0"/>
        <v>gallardo</v>
      </c>
      <c r="J12" s="67" t="s">
        <v>1263</v>
      </c>
      <c r="K12" s="67" t="s">
        <v>1264</v>
      </c>
      <c r="L12" s="69" t="str">
        <f t="shared" si="1"/>
        <v>gallardo, bessy</v>
      </c>
      <c r="M12" s="69">
        <f>VLOOKUP(L12,all!$N$2:$O$156,2,FALSE)</f>
        <v>22</v>
      </c>
      <c r="N12" s="69">
        <v>1</v>
      </c>
    </row>
    <row r="13" spans="1:14" ht="13" x14ac:dyDescent="0.25">
      <c r="A13" s="70" t="s">
        <v>1265</v>
      </c>
      <c r="B13" s="67" t="e" cm="1">
        <f t="array" aca="1" ref="B13:C13" ca="1">_xlfn.TEXTSPLIT(A13," ")</f>
        <v>#NAME?</v>
      </c>
      <c r="C13" s="67" t="e">
        <f ca="1"/>
        <v>#NAME?</v>
      </c>
      <c r="F13" s="67" t="s">
        <v>1266</v>
      </c>
      <c r="G13" s="67" t="s">
        <v>1267</v>
      </c>
      <c r="H13" s="67" t="str">
        <f t="shared" si="0"/>
        <v>carlos</v>
      </c>
      <c r="I13" s="67" t="str">
        <f t="shared" si="0"/>
        <v>calvo</v>
      </c>
      <c r="J13" s="67" t="s">
        <v>1268</v>
      </c>
      <c r="K13" s="67" t="s">
        <v>1269</v>
      </c>
      <c r="L13" s="69" t="str">
        <f t="shared" si="1"/>
        <v>calvo, carlos</v>
      </c>
      <c r="M13" s="69">
        <f>VLOOKUP(L13,all!$N$2:$O$156,2,FALSE)</f>
        <v>24</v>
      </c>
      <c r="N13" s="69">
        <v>1</v>
      </c>
    </row>
    <row r="14" spans="1:14" ht="13" x14ac:dyDescent="0.25">
      <c r="A14" s="70" t="s">
        <v>1270</v>
      </c>
      <c r="B14" s="67" t="e" cm="1">
        <f t="array" aca="1" ref="B14:C14" ca="1">_xlfn.TEXTSPLIT(A14," ")</f>
        <v>#NAME?</v>
      </c>
      <c r="C14" s="67" t="e">
        <f ca="1"/>
        <v>#NAME?</v>
      </c>
      <c r="F14" s="67" t="s">
        <v>989</v>
      </c>
      <c r="G14" s="67" t="s">
        <v>1271</v>
      </c>
      <c r="H14" s="67" t="str">
        <f t="shared" si="0"/>
        <v>carolina</v>
      </c>
      <c r="I14" s="67" t="str">
        <f t="shared" si="0"/>
        <v>vilches</v>
      </c>
      <c r="J14" s="67" t="s">
        <v>991</v>
      </c>
      <c r="K14" s="67" t="s">
        <v>1272</v>
      </c>
      <c r="L14" s="69" t="str">
        <f t="shared" si="1"/>
        <v>vilches, carolina</v>
      </c>
      <c r="M14" s="69">
        <f>VLOOKUP(L14,all!$N$2:$O$156,2,FALSE)</f>
        <v>28</v>
      </c>
      <c r="N14" s="69">
        <v>1</v>
      </c>
    </row>
    <row r="15" spans="1:14" ht="13" x14ac:dyDescent="0.25">
      <c r="A15" s="70" t="s">
        <v>1273</v>
      </c>
      <c r="B15" s="67" t="e" cm="1">
        <f t="array" aca="1" ref="B15:C15" ca="1">_xlfn.TEXTSPLIT(A15," ")</f>
        <v>#NAME?</v>
      </c>
      <c r="C15" s="67" t="e">
        <f ca="1"/>
        <v>#NAME?</v>
      </c>
      <c r="F15" s="67" t="s">
        <v>1274</v>
      </c>
      <c r="G15" s="67" t="s">
        <v>1275</v>
      </c>
      <c r="H15" s="67" t="str">
        <f t="shared" si="0"/>
        <v>claudia</v>
      </c>
      <c r="I15" s="67" t="str">
        <f t="shared" si="0"/>
        <v>castro</v>
      </c>
      <c r="J15" s="67" t="s">
        <v>1276</v>
      </c>
      <c r="K15" s="67" t="s">
        <v>1277</v>
      </c>
      <c r="L15" s="69" t="str">
        <f t="shared" si="1"/>
        <v>castro, claudia</v>
      </c>
      <c r="M15" s="69">
        <f>VLOOKUP(L15,all!$N$2:$O$156,2,FALSE)</f>
        <v>33</v>
      </c>
      <c r="N15" s="69">
        <v>1</v>
      </c>
    </row>
    <row r="16" spans="1:14" ht="13" x14ac:dyDescent="0.25">
      <c r="A16" s="70" t="s">
        <v>1278</v>
      </c>
      <c r="B16" s="67" t="e" cm="1">
        <f t="array" aca="1" ref="B16:C16" ca="1">_xlfn.TEXTSPLIT(A16," ")</f>
        <v>#NAME?</v>
      </c>
      <c r="C16" s="67" t="e">
        <f ca="1"/>
        <v>#NAME?</v>
      </c>
      <c r="F16" s="67" t="s">
        <v>1279</v>
      </c>
      <c r="G16" s="67" t="s">
        <v>1280</v>
      </c>
      <c r="H16" s="67" t="str">
        <f t="shared" si="0"/>
        <v>claudio</v>
      </c>
      <c r="I16" s="67" t="str">
        <f t="shared" si="0"/>
        <v>gómez</v>
      </c>
      <c r="J16" s="67" t="s">
        <v>1281</v>
      </c>
      <c r="K16" s="67" t="s">
        <v>1282</v>
      </c>
      <c r="L16" s="69" t="str">
        <f t="shared" si="1"/>
        <v>gomez, claudio</v>
      </c>
      <c r="M16" s="69">
        <f>VLOOKUP(L16,all!$N$2:$O$156,2,FALSE)</f>
        <v>35</v>
      </c>
      <c r="N16" s="69">
        <v>1</v>
      </c>
    </row>
    <row r="17" spans="1:14" ht="13" x14ac:dyDescent="0.25">
      <c r="A17" s="70" t="s">
        <v>1283</v>
      </c>
      <c r="B17" s="67" t="e" cm="1">
        <f t="array" aca="1" ref="B17:C17" ca="1">_xlfn.TEXTSPLIT(A17," ")</f>
        <v>#NAME?</v>
      </c>
      <c r="C17" s="67" t="e">
        <f ca="1"/>
        <v>#NAME?</v>
      </c>
      <c r="F17" s="67" t="s">
        <v>1284</v>
      </c>
      <c r="G17" s="67" t="s">
        <v>1285</v>
      </c>
      <c r="H17" s="67" t="str">
        <f t="shared" si="0"/>
        <v>cristóbal</v>
      </c>
      <c r="I17" s="67" t="str">
        <f t="shared" si="0"/>
        <v>andrade</v>
      </c>
      <c r="J17" s="67" t="s">
        <v>1286</v>
      </c>
      <c r="K17" s="67" t="s">
        <v>1287</v>
      </c>
      <c r="L17" s="69" t="str">
        <f t="shared" si="1"/>
        <v>andrade, cristobal</v>
      </c>
      <c r="M17" s="69">
        <f>VLOOKUP(L17,all!$N$2:$O$156,2,FALSE)</f>
        <v>41</v>
      </c>
      <c r="N17" s="69">
        <v>1</v>
      </c>
    </row>
    <row r="18" spans="1:14" ht="13" x14ac:dyDescent="0.25">
      <c r="A18" s="70" t="s">
        <v>1288</v>
      </c>
      <c r="B18" s="67" t="e" cm="1">
        <f t="array" aca="1" ref="B18:C18" ca="1">_xlfn.TEXTSPLIT(A18," ")</f>
        <v>#NAME?</v>
      </c>
      <c r="C18" s="67" t="e">
        <f ca="1"/>
        <v>#NAME?</v>
      </c>
      <c r="F18" s="67" t="s">
        <v>1289</v>
      </c>
      <c r="G18" s="67" t="s">
        <v>1290</v>
      </c>
      <c r="H18" s="67" t="str">
        <f t="shared" si="0"/>
        <v>christian</v>
      </c>
      <c r="I18" s="67" t="str">
        <f t="shared" si="0"/>
        <v>viera</v>
      </c>
      <c r="J18" s="67" t="s">
        <v>1291</v>
      </c>
      <c r="K18" s="67" t="s">
        <v>1292</v>
      </c>
      <c r="L18" s="69" t="str">
        <f t="shared" si="1"/>
        <v>viera, christian</v>
      </c>
      <c r="M18" s="69">
        <f>VLOOKUP(L18,all!$N$2:$O$156,2,FALSE)</f>
        <v>32</v>
      </c>
      <c r="N18" s="69">
        <v>1</v>
      </c>
    </row>
    <row r="19" spans="1:14" ht="13" x14ac:dyDescent="0.25">
      <c r="A19" s="70" t="s">
        <v>1293</v>
      </c>
      <c r="B19" s="67" t="e" cm="1">
        <f t="array" aca="1" ref="B19:C19" ca="1">_xlfn.TEXTSPLIT(A19," ")</f>
        <v>#NAME?</v>
      </c>
      <c r="C19" s="67" t="e">
        <f ca="1"/>
        <v>#NAME?</v>
      </c>
      <c r="F19" s="67" t="s">
        <v>1294</v>
      </c>
      <c r="G19" s="67" t="s">
        <v>1295</v>
      </c>
      <c r="H19" s="67" t="str">
        <f t="shared" si="0"/>
        <v>damaris</v>
      </c>
      <c r="I19" s="67" t="str">
        <f t="shared" si="0"/>
        <v>abarca</v>
      </c>
      <c r="J19" s="67" t="s">
        <v>1296</v>
      </c>
      <c r="K19" s="67" t="s">
        <v>1297</v>
      </c>
      <c r="L19" s="69" t="str">
        <f t="shared" si="1"/>
        <v>abarca, damaris</v>
      </c>
      <c r="M19" s="69">
        <f>VLOOKUP(L19,all!$N$2:$O$156,2,FALSE)</f>
        <v>42</v>
      </c>
      <c r="N19" s="69">
        <v>1</v>
      </c>
    </row>
    <row r="20" spans="1:14" ht="13" x14ac:dyDescent="0.25">
      <c r="A20" s="70" t="s">
        <v>1298</v>
      </c>
      <c r="B20" s="67" t="e" cm="1">
        <f t="array" aca="1" ref="B20:C20" ca="1">_xlfn.TEXTSPLIT(A20," ")</f>
        <v>#NAME?</v>
      </c>
      <c r="C20" s="67" t="e">
        <f ca="1"/>
        <v>#NAME?</v>
      </c>
      <c r="F20" s="67" t="s">
        <v>1299</v>
      </c>
      <c r="G20" s="67" t="s">
        <v>1300</v>
      </c>
      <c r="H20" s="67" t="str">
        <f t="shared" si="0"/>
        <v>daniel</v>
      </c>
      <c r="I20" s="67" t="str">
        <f t="shared" si="0"/>
        <v>bravo</v>
      </c>
      <c r="J20" s="67" t="s">
        <v>1301</v>
      </c>
      <c r="K20" s="67" t="s">
        <v>1302</v>
      </c>
      <c r="L20" s="69" t="str">
        <f t="shared" si="1"/>
        <v>bravo, daniel</v>
      </c>
      <c r="M20" s="69">
        <f>VLOOKUP(L20,all!$N$2:$O$156,2,FALSE)</f>
        <v>43</v>
      </c>
      <c r="N20" s="69">
        <v>1</v>
      </c>
    </row>
    <row r="21" spans="1:14" ht="13" x14ac:dyDescent="0.25">
      <c r="A21" s="70" t="s">
        <v>1303</v>
      </c>
      <c r="B21" s="67" t="e" cm="1">
        <f t="array" aca="1" ref="B21:C21" ca="1">_xlfn.TEXTSPLIT(A21," ")</f>
        <v>#NAME?</v>
      </c>
      <c r="C21" s="67" t="e">
        <f ca="1"/>
        <v>#NAME?</v>
      </c>
      <c r="F21" s="67" t="s">
        <v>1299</v>
      </c>
      <c r="G21" s="67" t="s">
        <v>1304</v>
      </c>
      <c r="H21" s="67" t="str">
        <f t="shared" si="0"/>
        <v>daniel</v>
      </c>
      <c r="I21" s="67" t="str">
        <f t="shared" si="0"/>
        <v>stingo</v>
      </c>
      <c r="J21" s="67" t="s">
        <v>1301</v>
      </c>
      <c r="K21" s="67" t="s">
        <v>1305</v>
      </c>
      <c r="L21" s="69" t="str">
        <f t="shared" si="1"/>
        <v>stingo, daniel</v>
      </c>
      <c r="M21" s="69">
        <f>VLOOKUP(L21,all!$N$2:$O$156,2,FALSE)</f>
        <v>44</v>
      </c>
      <c r="N21" s="69">
        <v>1</v>
      </c>
    </row>
    <row r="22" spans="1:14" ht="13" x14ac:dyDescent="0.25">
      <c r="A22" s="70" t="s">
        <v>1306</v>
      </c>
      <c r="B22" s="67" t="e" cm="1">
        <f t="array" aca="1" ref="B22:C22" ca="1">_xlfn.TEXTSPLIT(A22," ")</f>
        <v>#NAME?</v>
      </c>
      <c r="C22" s="67" t="e">
        <f ca="1"/>
        <v>#NAME?</v>
      </c>
      <c r="F22" s="67" t="s">
        <v>1037</v>
      </c>
      <c r="G22" s="67" t="s">
        <v>1307</v>
      </c>
      <c r="H22" s="67" t="str">
        <f t="shared" si="0"/>
        <v>fernando</v>
      </c>
      <c r="I22" s="67" t="str">
        <f t="shared" si="0"/>
        <v>atria</v>
      </c>
      <c r="J22" s="67" t="s">
        <v>1039</v>
      </c>
      <c r="K22" s="67" t="s">
        <v>1308</v>
      </c>
      <c r="L22" s="69" t="str">
        <f t="shared" si="1"/>
        <v>atria, fernando</v>
      </c>
      <c r="M22" s="69">
        <f>VLOOKUP(L22,all!$N$2:$O$156,2,FALSE)</f>
        <v>56</v>
      </c>
      <c r="N22" s="69">
        <v>1</v>
      </c>
    </row>
    <row r="23" spans="1:14" ht="13" x14ac:dyDescent="0.25">
      <c r="A23" s="70" t="s">
        <v>1309</v>
      </c>
      <c r="B23" s="67" t="e" cm="1">
        <f t="array" aca="1" ref="B23:C23" ca="1">_xlfn.TEXTSPLIT(A23," ")</f>
        <v>#NAME?</v>
      </c>
      <c r="C23" s="67" t="e">
        <f ca="1"/>
        <v>#NAME?</v>
      </c>
      <c r="F23" s="67" t="s">
        <v>1037</v>
      </c>
      <c r="G23" s="67" t="s">
        <v>1310</v>
      </c>
      <c r="H23" s="67" t="str">
        <f t="shared" si="0"/>
        <v>fernando</v>
      </c>
      <c r="I23" s="67" t="str">
        <f t="shared" si="0"/>
        <v>tirado</v>
      </c>
      <c r="J23" s="67" t="s">
        <v>1039</v>
      </c>
      <c r="K23" s="67" t="s">
        <v>1311</v>
      </c>
      <c r="L23" s="69" t="str">
        <f t="shared" si="1"/>
        <v>tirado, fernando</v>
      </c>
      <c r="M23" s="69">
        <f>VLOOKUP(L23,all!$N$2:$O$156,2,FALSE)</f>
        <v>58</v>
      </c>
      <c r="N23" s="69">
        <v>1</v>
      </c>
    </row>
    <row r="24" spans="1:14" ht="13" x14ac:dyDescent="0.25">
      <c r="A24" s="70" t="s">
        <v>1312</v>
      </c>
      <c r="B24" s="67" t="e" cm="1">
        <f t="array" aca="1" ref="B24:C24" ca="1">_xlfn.TEXTSPLIT(A24," ")</f>
        <v>#NAME?</v>
      </c>
      <c r="C24" s="67" t="e">
        <f ca="1"/>
        <v>#NAME?</v>
      </c>
      <c r="F24" s="67" t="s">
        <v>1313</v>
      </c>
      <c r="G24" s="67" t="s">
        <v>1314</v>
      </c>
      <c r="H24" s="67" t="str">
        <f t="shared" si="0"/>
        <v>helmuth</v>
      </c>
      <c r="I24" s="67" t="str">
        <f t="shared" si="0"/>
        <v>martínez</v>
      </c>
      <c r="J24" s="67" t="s">
        <v>1315</v>
      </c>
      <c r="K24" s="67" t="s">
        <v>1316</v>
      </c>
      <c r="L24" s="69" t="str">
        <f t="shared" si="1"/>
        <v>martinez, helmuth</v>
      </c>
      <c r="M24" s="69">
        <f>VLOOKUP(L24,all!$N$2:$O$156,2,FALSE)</f>
        <v>70</v>
      </c>
      <c r="N24" s="69">
        <v>1</v>
      </c>
    </row>
    <row r="25" spans="1:14" ht="13" x14ac:dyDescent="0.25">
      <c r="A25" s="70" t="s">
        <v>1317</v>
      </c>
      <c r="B25" s="67" t="e" cm="1">
        <f t="array" aca="1" ref="B25:C25" ca="1">_xlfn.TEXTSPLIT(A25," ")</f>
        <v>#NAME?</v>
      </c>
      <c r="C25" s="67" t="e">
        <f ca="1"/>
        <v>#NAME?</v>
      </c>
      <c r="F25" s="67" t="s">
        <v>1318</v>
      </c>
      <c r="G25" s="67" t="s">
        <v>1319</v>
      </c>
      <c r="H25" s="67" t="str">
        <f t="shared" si="0"/>
        <v>jaime</v>
      </c>
      <c r="I25" s="67" t="str">
        <f t="shared" si="0"/>
        <v>bassa</v>
      </c>
      <c r="J25" s="67" t="s">
        <v>1320</v>
      </c>
      <c r="K25" s="67" t="s">
        <v>1321</v>
      </c>
      <c r="L25" s="69" t="str">
        <f t="shared" si="1"/>
        <v>bassa, jaime</v>
      </c>
      <c r="M25" s="69">
        <f>VLOOKUP(L25,all!$N$2:$O$156,2,FALSE)</f>
        <v>79</v>
      </c>
      <c r="N25" s="69">
        <v>1</v>
      </c>
    </row>
    <row r="26" spans="1:14" ht="13" x14ac:dyDescent="0.25">
      <c r="A26" s="70" t="s">
        <v>1322</v>
      </c>
      <c r="B26" s="67" t="e" cm="1">
        <f t="array" aca="1" ref="B26:C26" ca="1">_xlfn.TEXTSPLIT(A26," ")</f>
        <v>#NAME?</v>
      </c>
      <c r="C26" s="67" t="e">
        <f ca="1"/>
        <v>#NAME?</v>
      </c>
      <c r="F26" s="67" t="s">
        <v>1323</v>
      </c>
      <c r="G26" s="67" t="s">
        <v>1324</v>
      </c>
      <c r="H26" s="67" t="str">
        <f t="shared" si="0"/>
        <v>janis</v>
      </c>
      <c r="I26" s="67" t="str">
        <f t="shared" si="0"/>
        <v>meneses</v>
      </c>
      <c r="J26" s="67" t="s">
        <v>1325</v>
      </c>
      <c r="K26" s="67" t="s">
        <v>1326</v>
      </c>
      <c r="L26" s="69" t="str">
        <f t="shared" si="1"/>
        <v>meneses, janis</v>
      </c>
      <c r="M26" s="69">
        <f>VLOOKUP(L26,all!$N$2:$O$156,2,FALSE)</f>
        <v>80</v>
      </c>
      <c r="N26" s="69">
        <v>1</v>
      </c>
    </row>
    <row r="27" spans="1:14" ht="13" x14ac:dyDescent="0.25">
      <c r="A27" s="70" t="s">
        <v>1327</v>
      </c>
      <c r="B27" s="67" t="e" cm="1">
        <f t="array" aca="1" ref="B27:C27" ca="1">_xlfn.TEXTSPLIT(A27," ")</f>
        <v>#NAME?</v>
      </c>
      <c r="C27" s="67" t="e">
        <f ca="1"/>
        <v>#NAME?</v>
      </c>
      <c r="F27" s="67" t="s">
        <v>1328</v>
      </c>
      <c r="G27" s="67" t="s">
        <v>1329</v>
      </c>
      <c r="H27" s="67" t="str">
        <f t="shared" si="0"/>
        <v>jeniffer</v>
      </c>
      <c r="I27" s="67" t="str">
        <f t="shared" si="0"/>
        <v>mella</v>
      </c>
      <c r="J27" s="67" t="s">
        <v>1330</v>
      </c>
      <c r="K27" s="67" t="s">
        <v>1331</v>
      </c>
      <c r="L27" s="69" t="str">
        <f t="shared" si="1"/>
        <v>mella, jeniffer</v>
      </c>
      <c r="M27" s="69">
        <f>VLOOKUP(L27,all!$N$2:$O$156,2,FALSE)</f>
        <v>82</v>
      </c>
      <c r="N27" s="69">
        <v>1</v>
      </c>
    </row>
    <row r="28" spans="1:14" ht="13" x14ac:dyDescent="0.25">
      <c r="A28" s="70" t="s">
        <v>1332</v>
      </c>
      <c r="B28" s="67" t="e" cm="1">
        <f t="array" aca="1" ref="B28:C28" ca="1">_xlfn.TEXTSPLIT(A28," ")</f>
        <v>#NAME?</v>
      </c>
      <c r="C28" s="67" t="e">
        <f ca="1"/>
        <v>#NAME?</v>
      </c>
      <c r="F28" s="67" t="s">
        <v>1333</v>
      </c>
      <c r="G28" s="67" t="s">
        <v>1295</v>
      </c>
      <c r="H28" s="67" t="str">
        <f t="shared" si="0"/>
        <v>jorge</v>
      </c>
      <c r="I28" s="67" t="str">
        <f t="shared" si="0"/>
        <v>abarca</v>
      </c>
      <c r="J28" s="67" t="s">
        <v>1334</v>
      </c>
      <c r="K28" s="67" t="s">
        <v>1297</v>
      </c>
      <c r="L28" s="69" t="str">
        <f t="shared" si="1"/>
        <v>abarca, jorge</v>
      </c>
      <c r="M28" s="69">
        <f>VLOOKUP(L28,all!$N$2:$O$156,2,FALSE)</f>
        <v>83</v>
      </c>
      <c r="N28" s="69">
        <v>1</v>
      </c>
    </row>
    <row r="29" spans="1:14" ht="13" x14ac:dyDescent="0.25">
      <c r="A29" s="70" t="s">
        <v>1335</v>
      </c>
      <c r="B29" s="67" t="e" cm="1">
        <f t="array" aca="1" ref="B29:C29" ca="1">_xlfn.TEXTSPLIT(A29," ")</f>
        <v>#NAME?</v>
      </c>
      <c r="C29" s="67" t="e">
        <f ca="1"/>
        <v>#NAME?</v>
      </c>
      <c r="F29" s="67" t="s">
        <v>1333</v>
      </c>
      <c r="G29" s="67" t="s">
        <v>1336</v>
      </c>
      <c r="H29" s="67" t="str">
        <f t="shared" si="0"/>
        <v>jorge</v>
      </c>
      <c r="I29" s="67" t="str">
        <f t="shared" si="0"/>
        <v>arancibia</v>
      </c>
      <c r="J29" s="67" t="s">
        <v>1334</v>
      </c>
      <c r="K29" s="67" t="s">
        <v>1337</v>
      </c>
      <c r="L29" s="69" t="str">
        <f t="shared" si="1"/>
        <v>arancibia, jorge</v>
      </c>
      <c r="M29" s="69">
        <f>VLOOKUP(L29,all!$N$2:$O$156,2,FALSE)</f>
        <v>85</v>
      </c>
      <c r="N29" s="69">
        <v>1</v>
      </c>
    </row>
    <row r="30" spans="1:14" ht="13" x14ac:dyDescent="0.25">
      <c r="A30" s="70" t="s">
        <v>1338</v>
      </c>
      <c r="B30" s="67" t="e" cm="1">
        <f t="array" aca="1" ref="B30:C30" ca="1">_xlfn.TEXTSPLIT(A30," ")</f>
        <v>#NAME?</v>
      </c>
      <c r="C30" s="67" t="e">
        <f ca="1"/>
        <v>#NAME?</v>
      </c>
      <c r="F30" s="67" t="s">
        <v>1333</v>
      </c>
      <c r="G30" s="67" t="s">
        <v>1339</v>
      </c>
      <c r="H30" s="67" t="str">
        <f t="shared" si="0"/>
        <v>jorge</v>
      </c>
      <c r="I30" s="67" t="str">
        <f t="shared" si="0"/>
        <v>baradit</v>
      </c>
      <c r="J30" s="67" t="s">
        <v>1334</v>
      </c>
      <c r="K30" s="67" t="s">
        <v>1340</v>
      </c>
      <c r="L30" s="69" t="str">
        <f t="shared" si="1"/>
        <v>baradit, jorge</v>
      </c>
      <c r="M30" s="69">
        <f>VLOOKUP(L30,all!$N$2:$O$156,2,FALSE)</f>
        <v>84</v>
      </c>
      <c r="N30" s="69">
        <v>1</v>
      </c>
    </row>
    <row r="31" spans="1:14" ht="13" x14ac:dyDescent="0.25">
      <c r="A31" s="70" t="s">
        <v>1341</v>
      </c>
      <c r="B31" s="67" t="e" cm="1">
        <f t="array" aca="1" ref="B31:C31" ca="1">_xlfn.TEXTSPLIT(A31," ")</f>
        <v>#NAME?</v>
      </c>
      <c r="C31" s="67" t="e">
        <f ca="1"/>
        <v>#NAME?</v>
      </c>
      <c r="F31" s="67" t="s">
        <v>1342</v>
      </c>
      <c r="G31" s="67" t="s">
        <v>1010</v>
      </c>
      <c r="H31" s="67" t="str">
        <f t="shared" si="0"/>
        <v>lidia</v>
      </c>
      <c r="I31" s="67" t="str">
        <f t="shared" si="0"/>
        <v>gonzález</v>
      </c>
      <c r="J31" s="67" t="s">
        <v>1343</v>
      </c>
      <c r="K31" s="67" t="s">
        <v>1012</v>
      </c>
      <c r="L31" s="69" t="str">
        <f t="shared" si="1"/>
        <v>gonzalez, lidia</v>
      </c>
      <c r="M31" s="69">
        <f>VLOOKUP(L31,all!$N$2:$O$156,2,FALSE)</f>
        <v>89</v>
      </c>
      <c r="N31" s="69">
        <v>1</v>
      </c>
    </row>
    <row r="32" spans="1:14" ht="13" x14ac:dyDescent="0.25">
      <c r="A32" s="70" t="s">
        <v>1344</v>
      </c>
      <c r="B32" s="67" t="e" cm="1">
        <f t="array" aca="1" ref="B32:C32" ca="1">_xlfn.TEXTSPLIT(A32," ")</f>
        <v>#NAME?</v>
      </c>
      <c r="C32" s="67" t="e">
        <f ca="1"/>
        <v>#NAME?</v>
      </c>
      <c r="F32" s="67" t="s">
        <v>1123</v>
      </c>
      <c r="G32" s="67" t="s">
        <v>1345</v>
      </c>
      <c r="H32" s="67" t="str">
        <f t="shared" si="0"/>
        <v>luis</v>
      </c>
      <c r="I32" s="67" t="str">
        <f t="shared" si="0"/>
        <v>barceló</v>
      </c>
      <c r="J32" s="67" t="s">
        <v>1125</v>
      </c>
      <c r="K32" s="67" t="s">
        <v>1346</v>
      </c>
      <c r="L32" s="69" t="str">
        <f t="shared" si="1"/>
        <v>barcelo, luis</v>
      </c>
      <c r="M32" s="69">
        <f>VLOOKUP(L32,all!$N$2:$O$156,2,FALSE)</f>
        <v>97</v>
      </c>
      <c r="N32" s="69">
        <v>1</v>
      </c>
    </row>
    <row r="33" spans="1:14" ht="13" x14ac:dyDescent="0.25">
      <c r="A33" s="70" t="s">
        <v>1347</v>
      </c>
      <c r="B33" s="67" t="e" cm="1">
        <f t="array" aca="1" ref="B33:D33" ca="1">_xlfn.TEXTSPLIT(A33," ")</f>
        <v>#NAME?</v>
      </c>
      <c r="C33" s="67" t="e">
        <f ca="1"/>
        <v>#NAME?</v>
      </c>
      <c r="D33" s="67" t="e">
        <f ca="1"/>
        <v>#NAME?</v>
      </c>
      <c r="F33" s="67" t="s">
        <v>1128</v>
      </c>
      <c r="G33" s="67" t="s">
        <v>1348</v>
      </c>
      <c r="H33" s="67" t="str">
        <f t="shared" si="0"/>
        <v>manuel</v>
      </c>
      <c r="I33" s="67" t="str">
        <f t="shared" si="0"/>
        <v>ossandón</v>
      </c>
      <c r="J33" s="67" t="s">
        <v>1130</v>
      </c>
      <c r="K33" s="67" t="s">
        <v>1349</v>
      </c>
      <c r="L33" s="69" t="str">
        <f t="shared" si="1"/>
        <v>ossandon, manuel</v>
      </c>
      <c r="M33" s="69">
        <f>VLOOKUP(L33,all!$N$2:$O$156,2,FALSE)</f>
        <v>99</v>
      </c>
      <c r="N33" s="69">
        <v>1</v>
      </c>
    </row>
    <row r="34" spans="1:14" ht="13" x14ac:dyDescent="0.25">
      <c r="A34" s="70" t="s">
        <v>1350</v>
      </c>
      <c r="B34" s="67" t="e" cm="1">
        <f t="array" aca="1" ref="B34:C34" ca="1">_xlfn.TEXTSPLIT(A34," ")</f>
        <v>#NAME?</v>
      </c>
      <c r="C34" s="67" t="e">
        <f ca="1"/>
        <v>#NAME?</v>
      </c>
      <c r="F34" s="67" t="s">
        <v>1351</v>
      </c>
      <c r="G34" s="67" t="s">
        <v>1352</v>
      </c>
      <c r="H34" s="67" t="str">
        <f t="shared" si="0"/>
        <v>manuela</v>
      </c>
      <c r="I34" s="67" t="str">
        <f t="shared" si="0"/>
        <v>royo</v>
      </c>
      <c r="J34" s="67" t="s">
        <v>1353</v>
      </c>
      <c r="K34" s="67" t="s">
        <v>1354</v>
      </c>
      <c r="L34" s="69" t="str">
        <f t="shared" si="1"/>
        <v>royo, manuela</v>
      </c>
      <c r="M34" s="69">
        <f>VLOOKUP(L34,all!$N$2:$O$156,2,FALSE)</f>
        <v>101</v>
      </c>
      <c r="N34" s="69">
        <v>1</v>
      </c>
    </row>
    <row r="35" spans="1:14" ht="13" x14ac:dyDescent="0.25">
      <c r="A35" s="70" t="s">
        <v>1355</v>
      </c>
      <c r="B35" s="67" t="e" cm="1">
        <f t="array" aca="1" ref="B35:C35" ca="1">_xlfn.TEXTSPLIT(A35," ")</f>
        <v>#NAME?</v>
      </c>
      <c r="C35" s="67" t="e">
        <f ca="1"/>
        <v>#NAME?</v>
      </c>
      <c r="F35" s="67" t="s">
        <v>1356</v>
      </c>
      <c r="G35" s="67" t="s">
        <v>1357</v>
      </c>
      <c r="H35" s="67" t="str">
        <f t="shared" si="0"/>
        <v>marcela</v>
      </c>
      <c r="I35" s="67" t="str">
        <f t="shared" si="0"/>
        <v>cubillos</v>
      </c>
      <c r="J35" s="67" t="s">
        <v>1358</v>
      </c>
      <c r="K35" s="67" t="s">
        <v>1359</v>
      </c>
      <c r="L35" s="69" t="str">
        <f t="shared" si="1"/>
        <v>cubillos, marcela</v>
      </c>
      <c r="M35" s="69">
        <f>VLOOKUP(L35,all!$N$2:$O$156,2,FALSE)</f>
        <v>102</v>
      </c>
      <c r="N35" s="69">
        <v>1</v>
      </c>
    </row>
    <row r="36" spans="1:14" ht="13" x14ac:dyDescent="0.25">
      <c r="A36" s="70" t="s">
        <v>1360</v>
      </c>
      <c r="B36" s="67" t="e" cm="1">
        <f t="array" aca="1" ref="B36:D36" ca="1">_xlfn.TEXTSPLIT(A36," ")</f>
        <v>#NAME?</v>
      </c>
      <c r="C36" s="67" t="e">
        <f ca="1"/>
        <v>#NAME?</v>
      </c>
      <c r="D36" s="67" t="e">
        <f ca="1"/>
        <v>#NAME?</v>
      </c>
      <c r="F36" s="67" t="s">
        <v>1361</v>
      </c>
      <c r="G36" s="67" t="s">
        <v>1362</v>
      </c>
      <c r="H36" s="67" t="str">
        <f t="shared" si="0"/>
        <v>maría angélica</v>
      </c>
      <c r="I36" s="67" t="str">
        <f t="shared" si="0"/>
        <v>tepper</v>
      </c>
      <c r="J36" s="67" t="s">
        <v>1363</v>
      </c>
      <c r="K36" s="67" t="s">
        <v>1364</v>
      </c>
      <c r="L36" s="69" t="str">
        <f t="shared" si="1"/>
        <v>tepper, maria angelica</v>
      </c>
      <c r="M36" s="69">
        <f>VLOOKUP(L36,all!$N$2:$O$156,2,FALSE)</f>
        <v>106</v>
      </c>
      <c r="N36" s="69">
        <v>1</v>
      </c>
    </row>
    <row r="37" spans="1:14" ht="13" x14ac:dyDescent="0.25">
      <c r="A37" s="70" t="s">
        <v>1365</v>
      </c>
      <c r="B37" s="67" t="e" cm="1">
        <f t="array" aca="1" ref="B37:D37" ca="1">_xlfn.TEXTSPLIT(A37," ")</f>
        <v>#NAME?</v>
      </c>
      <c r="C37" s="67" t="e">
        <f ca="1"/>
        <v>#NAME?</v>
      </c>
      <c r="D37" s="67" t="e">
        <f ca="1"/>
        <v>#NAME?</v>
      </c>
      <c r="F37" s="67" t="s">
        <v>1366</v>
      </c>
      <c r="G37" s="67" t="s">
        <v>1367</v>
      </c>
      <c r="H37" s="67" t="str">
        <f t="shared" si="0"/>
        <v>maría cecilia</v>
      </c>
      <c r="I37" s="67" t="str">
        <f t="shared" si="0"/>
        <v>ubilla</v>
      </c>
      <c r="J37" s="67" t="s">
        <v>1368</v>
      </c>
      <c r="K37" s="67" t="s">
        <v>1369</v>
      </c>
      <c r="L37" s="69" t="str">
        <f t="shared" si="1"/>
        <v>ubilla, maria cecilia</v>
      </c>
      <c r="M37" s="69">
        <f>VLOOKUP(L37,all!$N$2:$O$156,2,FALSE)</f>
        <v>107</v>
      </c>
      <c r="N37" s="69">
        <v>1</v>
      </c>
    </row>
    <row r="38" spans="1:14" ht="13" x14ac:dyDescent="0.25">
      <c r="A38" s="70" t="s">
        <v>1370</v>
      </c>
      <c r="B38" s="67" t="e" cm="1">
        <f t="array" aca="1" ref="B38:D38" ca="1">_xlfn.TEXTSPLIT(A38," ")</f>
        <v>#NAME?</v>
      </c>
      <c r="C38" s="67" t="e">
        <f ca="1"/>
        <v>#NAME?</v>
      </c>
      <c r="D38" s="67" t="e">
        <f ca="1"/>
        <v>#NAME?</v>
      </c>
      <c r="F38" s="67" t="s">
        <v>1371</v>
      </c>
      <c r="G38" s="67" t="s">
        <v>1372</v>
      </c>
      <c r="H38" s="67" t="str">
        <f t="shared" si="0"/>
        <v>maría magdalena</v>
      </c>
      <c r="I38" s="67" t="str">
        <f t="shared" si="0"/>
        <v>rivera</v>
      </c>
      <c r="J38" s="67" t="s">
        <v>1373</v>
      </c>
      <c r="K38" s="67" t="s">
        <v>1374</v>
      </c>
      <c r="L38" s="69" t="str">
        <f t="shared" si="1"/>
        <v>rivera, maria magdalena</v>
      </c>
      <c r="M38" s="69">
        <f>VLOOKUP(L38,all!$N$2:$O$156,2,FALSE)</f>
        <v>110</v>
      </c>
      <c r="N38" s="69">
        <v>1</v>
      </c>
    </row>
    <row r="39" spans="1:14" ht="13" x14ac:dyDescent="0.25">
      <c r="A39" s="70" t="s">
        <v>1375</v>
      </c>
      <c r="B39" s="67" t="e" cm="1">
        <f t="array" aca="1" ref="B39:C39" ca="1">_xlfn.TEXTSPLIT(A39," ")</f>
        <v>#NAME?</v>
      </c>
      <c r="C39" s="67" t="e">
        <f ca="1"/>
        <v>#NAME?</v>
      </c>
      <c r="F39" s="67" t="s">
        <v>1376</v>
      </c>
      <c r="G39" s="67" t="s">
        <v>1377</v>
      </c>
      <c r="H39" s="67" t="str">
        <f t="shared" si="0"/>
        <v>mariela</v>
      </c>
      <c r="I39" s="67" t="str">
        <f t="shared" si="0"/>
        <v>serey</v>
      </c>
      <c r="J39" s="67" t="s">
        <v>1378</v>
      </c>
      <c r="K39" s="67" t="s">
        <v>1379</v>
      </c>
      <c r="L39" s="69" t="str">
        <f t="shared" si="1"/>
        <v>serey, mariela</v>
      </c>
      <c r="M39" s="69">
        <f>VLOOKUP(L39,all!$N$2:$O$156,2,FALSE)</f>
        <v>113</v>
      </c>
      <c r="N39" s="69">
        <v>1</v>
      </c>
    </row>
    <row r="40" spans="1:14" ht="13" x14ac:dyDescent="0.25">
      <c r="A40" s="70" t="s">
        <v>1380</v>
      </c>
      <c r="B40" s="67" t="e" cm="1">
        <f t="array" aca="1" ref="B40:C40" ca="1">_xlfn.TEXTSPLIT(A40," ")</f>
        <v>#NAME?</v>
      </c>
      <c r="C40" s="67" t="e">
        <f ca="1"/>
        <v>#NAME?</v>
      </c>
      <c r="F40" s="67" t="s">
        <v>1381</v>
      </c>
      <c r="G40" s="67" t="s">
        <v>1382</v>
      </c>
      <c r="H40" s="67" t="str">
        <f t="shared" si="0"/>
        <v>patricio</v>
      </c>
      <c r="I40" s="67" t="str">
        <f t="shared" si="0"/>
        <v>fernández</v>
      </c>
      <c r="J40" s="67" t="s">
        <v>1383</v>
      </c>
      <c r="K40" s="67" t="s">
        <v>1384</v>
      </c>
      <c r="L40" s="69" t="str">
        <f t="shared" si="1"/>
        <v>fernandez, patricio</v>
      </c>
      <c r="M40" s="69">
        <f>VLOOKUP(L40,all!$N$2:$O$156,2,FALSE)</f>
        <v>126</v>
      </c>
      <c r="N40" s="69">
        <v>1</v>
      </c>
    </row>
    <row r="41" spans="1:14" ht="13" x14ac:dyDescent="0.25">
      <c r="A41" s="70" t="s">
        <v>1385</v>
      </c>
      <c r="B41" s="67" t="e" cm="1">
        <f t="array" aca="1" ref="B41:C41" ca="1">_xlfn.TEXTSPLIT(A41," ")</f>
        <v>#NAME?</v>
      </c>
      <c r="C41" s="67" t="e">
        <f ca="1"/>
        <v>#NAME?</v>
      </c>
      <c r="F41" s="67" t="s">
        <v>1386</v>
      </c>
      <c r="G41" s="67" t="s">
        <v>1372</v>
      </c>
      <c r="H41" s="67" t="str">
        <f t="shared" si="0"/>
        <v>pollyana</v>
      </c>
      <c r="I41" s="67" t="str">
        <f t="shared" si="0"/>
        <v>rivera</v>
      </c>
      <c r="J41" s="67" t="s">
        <v>1387</v>
      </c>
      <c r="K41" s="67" t="s">
        <v>1374</v>
      </c>
      <c r="L41" s="69" t="str">
        <f t="shared" si="1"/>
        <v>rivera, pollyana</v>
      </c>
      <c r="M41" s="69">
        <f>VLOOKUP(L41,all!$N$2:$O$156,2,FALSE)</f>
        <v>130</v>
      </c>
      <c r="N41" s="69">
        <v>1</v>
      </c>
    </row>
    <row r="42" spans="1:14" ht="13" x14ac:dyDescent="0.25">
      <c r="A42" s="70" t="s">
        <v>1388</v>
      </c>
      <c r="B42" s="67" t="e" cm="1">
        <f t="array" aca="1" ref="B42:C42" ca="1">_xlfn.TEXTSPLIT(A42," ")</f>
        <v>#NAME?</v>
      </c>
      <c r="C42" s="67" t="e">
        <f ca="1"/>
        <v>#NAME?</v>
      </c>
      <c r="F42" s="67" t="s">
        <v>1389</v>
      </c>
      <c r="G42" s="67" t="s">
        <v>1390</v>
      </c>
      <c r="H42" s="67" t="str">
        <f t="shared" si="0"/>
        <v>renato</v>
      </c>
      <c r="I42" s="67" t="str">
        <f t="shared" si="0"/>
        <v>garín</v>
      </c>
      <c r="J42" s="67" t="s">
        <v>1391</v>
      </c>
      <c r="K42" s="67" t="s">
        <v>1392</v>
      </c>
      <c r="L42" s="69" t="str">
        <f t="shared" si="1"/>
        <v>garin, renato</v>
      </c>
      <c r="M42" s="69">
        <f>VLOOKUP(L42,all!$N$2:$O$156,2,FALSE)</f>
        <v>132</v>
      </c>
      <c r="N42" s="69">
        <v>1</v>
      </c>
    </row>
    <row r="43" spans="1:14" ht="13" x14ac:dyDescent="0.25">
      <c r="A43" s="70" t="s">
        <v>1393</v>
      </c>
      <c r="B43" s="67" t="e" cm="1">
        <f t="array" aca="1" ref="B43:C43" ca="1">_xlfn.TEXTSPLIT(A43," ")</f>
        <v>#NAME?</v>
      </c>
      <c r="C43" s="67" t="e">
        <f ca="1"/>
        <v>#NAME?</v>
      </c>
      <c r="F43" s="67" t="s">
        <v>1394</v>
      </c>
      <c r="G43" s="67" t="s">
        <v>1395</v>
      </c>
      <c r="H43" s="67" t="str">
        <f t="shared" si="0"/>
        <v>ricardo</v>
      </c>
      <c r="I43" s="67" t="str">
        <f t="shared" si="0"/>
        <v>neumann</v>
      </c>
      <c r="J43" s="67" t="s">
        <v>1396</v>
      </c>
      <c r="K43" s="67" t="s">
        <v>1397</v>
      </c>
      <c r="L43" s="69" t="str">
        <f t="shared" si="1"/>
        <v>neumann, ricardo</v>
      </c>
      <c r="M43" s="69">
        <f>VLOOKUP(L43,all!$N$2:$O$156,2,FALSE)</f>
        <v>133</v>
      </c>
      <c r="N43" s="69">
        <v>1</v>
      </c>
    </row>
    <row r="44" spans="1:14" ht="13" x14ac:dyDescent="0.25">
      <c r="A44" s="70" t="s">
        <v>1398</v>
      </c>
      <c r="B44" s="67" t="e" cm="1">
        <f t="array" aca="1" ref="B44:C44" ca="1">_xlfn.TEXTSPLIT(A44," ")</f>
        <v>#NAME?</v>
      </c>
      <c r="C44" s="67" t="e">
        <f ca="1"/>
        <v>#NAME?</v>
      </c>
      <c r="F44" s="67" t="s">
        <v>1399</v>
      </c>
      <c r="G44" s="67" t="s">
        <v>1400</v>
      </c>
      <c r="H44" s="67" t="str">
        <f t="shared" si="0"/>
        <v>roberto</v>
      </c>
      <c r="I44" s="67" t="str">
        <f t="shared" si="0"/>
        <v>celedón</v>
      </c>
      <c r="J44" s="67" t="s">
        <v>1401</v>
      </c>
      <c r="K44" s="67" t="s">
        <v>1402</v>
      </c>
      <c r="L44" s="69" t="str">
        <f t="shared" si="1"/>
        <v>celedon, roberto</v>
      </c>
      <c r="M44" s="69">
        <f>VLOOKUP(L44,all!$N$2:$O$156,2,FALSE)</f>
        <v>135</v>
      </c>
      <c r="N44" s="69">
        <v>1</v>
      </c>
    </row>
    <row r="45" spans="1:14" ht="13" x14ac:dyDescent="0.25">
      <c r="A45" s="70" t="s">
        <v>1403</v>
      </c>
      <c r="B45" s="67" t="e" cm="1">
        <f t="array" aca="1" ref="B45:C45" ca="1">_xlfn.TEXTSPLIT(A45," ")</f>
        <v>#NAME?</v>
      </c>
      <c r="C45" s="67" t="e">
        <f ca="1"/>
        <v>#NAME?</v>
      </c>
      <c r="F45" s="67" t="s">
        <v>1404</v>
      </c>
      <c r="G45" s="67" t="s">
        <v>1405</v>
      </c>
      <c r="H45" s="67" t="str">
        <f t="shared" si="0"/>
        <v>rocío</v>
      </c>
      <c r="I45" s="67" t="str">
        <f t="shared" si="0"/>
        <v>cantuarias</v>
      </c>
      <c r="J45" s="67" t="s">
        <v>1406</v>
      </c>
      <c r="K45" s="67" t="s">
        <v>1407</v>
      </c>
      <c r="L45" s="69" t="str">
        <f t="shared" si="1"/>
        <v>cantuarias, rocio</v>
      </c>
      <c r="M45" s="69">
        <f>VLOOKUP(L45,all!$N$2:$O$156,2,FALSE)</f>
        <v>137</v>
      </c>
      <c r="N45" s="69">
        <v>1</v>
      </c>
    </row>
    <row r="46" spans="1:14" ht="13" x14ac:dyDescent="0.25">
      <c r="A46" s="70" t="s">
        <v>1408</v>
      </c>
      <c r="B46" s="67" t="e" cm="1">
        <f t="array" aca="1" ref="B46:C46" ca="1">_xlfn.TEXTSPLIT(A46," ")</f>
        <v>#NAME?</v>
      </c>
      <c r="C46" s="67" t="e">
        <f ca="1"/>
        <v>#NAME?</v>
      </c>
      <c r="F46" s="67" t="s">
        <v>1409</v>
      </c>
      <c r="G46" s="67" t="s">
        <v>1410</v>
      </c>
      <c r="H46" s="67" t="str">
        <f t="shared" si="0"/>
        <v>ruth</v>
      </c>
      <c r="I46" s="67" t="str">
        <f t="shared" si="0"/>
        <v>hurtado</v>
      </c>
      <c r="J46" s="67" t="s">
        <v>1411</v>
      </c>
      <c r="K46" s="67" t="s">
        <v>1412</v>
      </c>
      <c r="L46" s="69" t="str">
        <f t="shared" si="1"/>
        <v>hurtado, ruth</v>
      </c>
      <c r="M46" s="69">
        <f>VLOOKUP(L46,all!$N$2:$O$156,2,FALSE)</f>
        <v>144</v>
      </c>
      <c r="N46" s="69">
        <v>1</v>
      </c>
    </row>
    <row r="47" spans="1:14" ht="13" x14ac:dyDescent="0.25">
      <c r="A47" s="70" t="s">
        <v>1413</v>
      </c>
      <c r="B47" s="67" t="e" cm="1">
        <f t="array" aca="1" ref="B47:C47" ca="1">_xlfn.TEXTSPLIT(A47," ")</f>
        <v>#NAME?</v>
      </c>
      <c r="C47" s="67" t="e">
        <f ca="1"/>
        <v>#NAME?</v>
      </c>
      <c r="F47" s="67" t="s">
        <v>1414</v>
      </c>
      <c r="G47" s="67" t="s">
        <v>1415</v>
      </c>
      <c r="H47" s="67" t="str">
        <f t="shared" si="0"/>
        <v>tania</v>
      </c>
      <c r="I47" s="67" t="str">
        <f t="shared" si="0"/>
        <v>madriaga</v>
      </c>
      <c r="J47" s="67" t="s">
        <v>1416</v>
      </c>
      <c r="K47" s="67" t="s">
        <v>1417</v>
      </c>
      <c r="L47" s="69" t="str">
        <f t="shared" si="1"/>
        <v>madriaga, tania</v>
      </c>
      <c r="M47" s="69">
        <f>VLOOKUP(L47,all!$N$2:$O$156,2,FALSE)</f>
        <v>146</v>
      </c>
      <c r="N47" s="69">
        <v>1</v>
      </c>
    </row>
    <row r="48" spans="1:14" ht="13" x14ac:dyDescent="0.25">
      <c r="A48" s="70" t="s">
        <v>1418</v>
      </c>
      <c r="B48" s="67" t="e" cm="1">
        <f t="array" aca="1" ref="B48:C48" ca="1">_xlfn.TEXTSPLIT(A48," ")</f>
        <v>#NAME?</v>
      </c>
      <c r="C48" s="67" t="e">
        <f ca="1"/>
        <v>#NAME?</v>
      </c>
      <c r="F48" s="67" t="s">
        <v>1419</v>
      </c>
      <c r="G48" s="67" t="s">
        <v>1420</v>
      </c>
      <c r="H48" s="67" t="str">
        <f t="shared" si="0"/>
        <v>teresa</v>
      </c>
      <c r="I48" s="67" t="str">
        <f t="shared" si="0"/>
        <v>marinovic</v>
      </c>
      <c r="J48" s="67" t="s">
        <v>1421</v>
      </c>
      <c r="K48" s="67" t="s">
        <v>1422</v>
      </c>
      <c r="L48" s="69" t="str">
        <f t="shared" si="1"/>
        <v>marinovic, teresa</v>
      </c>
      <c r="M48" s="69">
        <f>VLOOKUP(L48,all!$N$2:$O$156,2,FALSE)</f>
        <v>148</v>
      </c>
      <c r="N48" s="69">
        <v>1</v>
      </c>
    </row>
    <row r="49" spans="1:14" ht="13" x14ac:dyDescent="0.25">
      <c r="A49" s="70" t="s">
        <v>1423</v>
      </c>
      <c r="B49" s="67" t="e" cm="1">
        <f t="array" aca="1" ref="B49:C49" ca="1">_xlfn.TEXTSPLIT(A49," ")</f>
        <v>#NAME?</v>
      </c>
      <c r="C49" s="67" t="e">
        <f ca="1"/>
        <v>#NAME?</v>
      </c>
      <c r="F49" s="67" t="s">
        <v>1424</v>
      </c>
      <c r="G49" s="67" t="s">
        <v>1425</v>
      </c>
      <c r="H49" s="67" t="str">
        <f t="shared" si="0"/>
        <v>vanessa</v>
      </c>
      <c r="I49" s="67" t="str">
        <f t="shared" si="0"/>
        <v>hoppe</v>
      </c>
      <c r="J49" s="67" t="s">
        <v>1426</v>
      </c>
      <c r="K49" s="67" t="s">
        <v>1427</v>
      </c>
      <c r="L49" s="69" t="str">
        <f t="shared" si="1"/>
        <v>hoppe, vanessa</v>
      </c>
      <c r="M49" s="69">
        <f>VLOOKUP(L49,all!$N$2:$O$156,2,FALSE)</f>
        <v>152</v>
      </c>
      <c r="N49" s="69">
        <v>1</v>
      </c>
    </row>
  </sheetData>
  <mergeCells count="4">
    <mergeCell ref="B1:C1"/>
    <mergeCell ref="F1:G1"/>
    <mergeCell ref="H1:I1"/>
    <mergeCell ref="J1:K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4"/>
  <dimension ref="A1:M53"/>
  <sheetViews>
    <sheetView workbookViewId="0">
      <selection activeCell="K2" sqref="K2:M53"/>
    </sheetView>
  </sheetViews>
  <sheetFormatPr defaultColWidth="9" defaultRowHeight="12.5" x14ac:dyDescent="0.25"/>
  <cols>
    <col min="1" max="1" width="16" style="67" bestFit="1" customWidth="1"/>
    <col min="2" max="10" width="9" style="67"/>
    <col min="11" max="11" width="26" style="69" customWidth="1"/>
    <col min="12" max="16384" width="9" style="67"/>
  </cols>
  <sheetData>
    <row r="1" spans="1:13" ht="13.5" thickBot="1" x14ac:dyDescent="0.35">
      <c r="A1" s="71" t="s">
        <v>1429</v>
      </c>
      <c r="B1" s="96" t="s">
        <v>1212</v>
      </c>
      <c r="C1" s="96"/>
      <c r="D1" s="65"/>
      <c r="E1" s="96" t="s">
        <v>942</v>
      </c>
      <c r="F1" s="96"/>
      <c r="G1" s="96" t="s">
        <v>583</v>
      </c>
      <c r="H1" s="96"/>
      <c r="I1" s="96" t="s">
        <v>943</v>
      </c>
      <c r="J1" s="96"/>
      <c r="K1" s="66" t="s">
        <v>1430</v>
      </c>
      <c r="L1" s="66" t="s">
        <v>1597</v>
      </c>
      <c r="M1" s="66" t="s">
        <v>1645</v>
      </c>
    </row>
    <row r="2" spans="1:13" ht="13" x14ac:dyDescent="0.25">
      <c r="A2" s="72" t="s">
        <v>1431</v>
      </c>
      <c r="B2" s="67" t="e" cm="1">
        <f t="array" aca="1" ref="B2:C2" ca="1">_xlfn.TEXTSPLIT(A2," ")</f>
        <v>#NAME?</v>
      </c>
      <c r="C2" s="67" t="e">
        <f ca="1"/>
        <v>#NAME?</v>
      </c>
      <c r="E2" s="67" t="s">
        <v>1432</v>
      </c>
      <c r="F2" s="67" t="s">
        <v>1433</v>
      </c>
      <c r="G2" s="67" t="str">
        <f>LOWER(E2)</f>
        <v>álvaro</v>
      </c>
      <c r="H2" s="67" t="str">
        <f>LOWER(F2)</f>
        <v>jofré</v>
      </c>
      <c r="I2" s="67" t="s">
        <v>1434</v>
      </c>
      <c r="J2" s="67" t="s">
        <v>1598</v>
      </c>
      <c r="K2" s="69" t="str">
        <f>CONCATENATE(J2,", ",I2)</f>
        <v>jofre, alvaro</v>
      </c>
      <c r="L2" s="69">
        <f>VLOOKUP(K2,all!$N$2:$O$156,2,FALSE)</f>
        <v>10</v>
      </c>
      <c r="M2" s="69">
        <v>2</v>
      </c>
    </row>
    <row r="3" spans="1:13" ht="13" x14ac:dyDescent="0.25">
      <c r="A3" s="73" t="s">
        <v>1435</v>
      </c>
      <c r="B3" s="67" t="e" cm="1">
        <f t="array" aca="1" ref="B3:C3" ca="1">_xlfn.TEXTSPLIT(A3," ")</f>
        <v>#NAME?</v>
      </c>
      <c r="C3" s="67" t="e">
        <f ca="1"/>
        <v>#NAME?</v>
      </c>
      <c r="E3" s="67" t="s">
        <v>1436</v>
      </c>
      <c r="F3" s="67" t="s">
        <v>1437</v>
      </c>
      <c r="G3" s="67" t="str">
        <f t="shared" ref="G3:H53" si="0">LOWER(E3)</f>
        <v>amaya</v>
      </c>
      <c r="H3" s="67" t="str">
        <f t="shared" si="0"/>
        <v>álvez</v>
      </c>
      <c r="I3" s="67" t="s">
        <v>1438</v>
      </c>
      <c r="J3" s="67" t="s">
        <v>1599</v>
      </c>
      <c r="K3" s="69" t="str">
        <f t="shared" ref="K3:K53" si="1">CONCATENATE(J3,", ",I3)</f>
        <v>alvez, amaya</v>
      </c>
      <c r="L3" s="69">
        <f>VLOOKUP(K3,all!$N$2:$O$156,2,FALSE)</f>
        <v>12</v>
      </c>
      <c r="M3" s="69">
        <v>2</v>
      </c>
    </row>
    <row r="4" spans="1:13" ht="13" x14ac:dyDescent="0.25">
      <c r="A4" s="73" t="s">
        <v>1439</v>
      </c>
      <c r="B4" s="67" t="e" cm="1">
        <f t="array" aca="1" ref="B4:C4" ca="1">_xlfn.TEXTSPLIT(A4," ")</f>
        <v>#NAME?</v>
      </c>
      <c r="C4" s="67" t="e">
        <f ca="1"/>
        <v>#NAME?</v>
      </c>
      <c r="E4" s="67" t="s">
        <v>1440</v>
      </c>
      <c r="F4" s="67" t="s">
        <v>1441</v>
      </c>
      <c r="G4" s="67" t="str">
        <f t="shared" si="0"/>
        <v>arturo</v>
      </c>
      <c r="H4" s="67" t="str">
        <f t="shared" si="0"/>
        <v>zúñiga</v>
      </c>
      <c r="I4" s="67" t="s">
        <v>1442</v>
      </c>
      <c r="J4" s="67" t="s">
        <v>1600</v>
      </c>
      <c r="K4" s="69" t="s">
        <v>880</v>
      </c>
      <c r="L4" s="69">
        <f>VLOOKUP(K4,all!$N$2:$O$156,2,FALSE)</f>
        <v>96</v>
      </c>
      <c r="M4" s="69">
        <v>2</v>
      </c>
    </row>
    <row r="5" spans="1:13" ht="13" x14ac:dyDescent="0.25">
      <c r="A5" s="73" t="s">
        <v>1443</v>
      </c>
      <c r="B5" s="67" t="e" cm="1">
        <f t="array" aca="1" ref="B5:C5" ca="1">_xlfn.TEXTSPLIT(A5," ")</f>
        <v>#NAME?</v>
      </c>
      <c r="C5" s="67" t="e">
        <f ca="1"/>
        <v>#NAME?</v>
      </c>
      <c r="E5" s="67" t="s">
        <v>1243</v>
      </c>
      <c r="F5" s="67" t="s">
        <v>990</v>
      </c>
      <c r="G5" s="67" t="str">
        <f t="shared" si="0"/>
        <v>bárbara</v>
      </c>
      <c r="H5" s="67" t="str">
        <f t="shared" si="0"/>
        <v>sepúlveda</v>
      </c>
      <c r="I5" s="67" t="s">
        <v>1245</v>
      </c>
      <c r="J5" s="67" t="s">
        <v>992</v>
      </c>
      <c r="K5" s="69" t="str">
        <f t="shared" si="1"/>
        <v>sepulveda, barbara</v>
      </c>
      <c r="L5" s="69">
        <f>VLOOKUP(K5,all!$N$2:$O$156,2,FALSE)</f>
        <v>16</v>
      </c>
      <c r="M5" s="69">
        <v>2</v>
      </c>
    </row>
    <row r="6" spans="1:13" ht="13" x14ac:dyDescent="0.25">
      <c r="A6" s="73" t="s">
        <v>1444</v>
      </c>
      <c r="B6" s="67" t="e" cm="1">
        <f t="array" aca="1" ref="B6:C6" ca="1">_xlfn.TEXTSPLIT(A6," ")</f>
        <v>#NAME?</v>
      </c>
      <c r="C6" s="67" t="e">
        <f ca="1"/>
        <v>#NAME?</v>
      </c>
      <c r="E6" s="67" t="s">
        <v>1445</v>
      </c>
      <c r="F6" s="67" t="s">
        <v>1446</v>
      </c>
      <c r="G6" s="67" t="str">
        <f t="shared" si="0"/>
        <v>carol</v>
      </c>
      <c r="H6" s="67" t="str">
        <f t="shared" si="0"/>
        <v>bown</v>
      </c>
      <c r="I6" s="67" t="s">
        <v>1447</v>
      </c>
      <c r="J6" s="67" t="s">
        <v>1601</v>
      </c>
      <c r="K6" s="69" t="str">
        <f t="shared" si="1"/>
        <v>bown, carol</v>
      </c>
      <c r="L6" s="69">
        <f>VLOOKUP(K6,all!$N$2:$O$156,2,FALSE)</f>
        <v>26</v>
      </c>
      <c r="M6" s="69">
        <v>2</v>
      </c>
    </row>
    <row r="7" spans="1:13" ht="13" x14ac:dyDescent="0.25">
      <c r="A7" s="73" t="s">
        <v>1448</v>
      </c>
      <c r="B7" s="67" t="e" cm="1">
        <f t="array" aca="1" ref="B7:C7" ca="1">_xlfn.TEXTSPLIT(A7," ")</f>
        <v>#NAME?</v>
      </c>
      <c r="C7" s="67" t="e">
        <f ca="1"/>
        <v>#NAME?</v>
      </c>
      <c r="E7" s="67" t="s">
        <v>989</v>
      </c>
      <c r="F7" s="67" t="s">
        <v>1449</v>
      </c>
      <c r="G7" s="67" t="str">
        <f t="shared" si="0"/>
        <v>carolina</v>
      </c>
      <c r="H7" s="67" t="str">
        <f t="shared" si="0"/>
        <v>videla</v>
      </c>
      <c r="I7" s="67" t="s">
        <v>991</v>
      </c>
      <c r="J7" s="67" t="s">
        <v>1602</v>
      </c>
      <c r="K7" s="69" t="str">
        <f t="shared" si="1"/>
        <v>videla, carolina</v>
      </c>
      <c r="L7" s="69">
        <f>VLOOKUP(K7,all!$N$2:$O$156,2,FALSE)</f>
        <v>29</v>
      </c>
      <c r="M7" s="69">
        <v>2</v>
      </c>
    </row>
    <row r="8" spans="1:13" ht="13" x14ac:dyDescent="0.25">
      <c r="A8" s="73" t="s">
        <v>1450</v>
      </c>
      <c r="B8" s="67" t="e" cm="1">
        <f t="array" aca="1" ref="B8:C8" ca="1">_xlfn.TEXTSPLIT(A8," ")</f>
        <v>#NAME?</v>
      </c>
      <c r="C8" s="67" t="e">
        <f ca="1"/>
        <v>#NAME?</v>
      </c>
      <c r="E8" s="67" t="s">
        <v>994</v>
      </c>
      <c r="F8" s="67" t="s">
        <v>1171</v>
      </c>
      <c r="G8" s="67" t="str">
        <f t="shared" si="0"/>
        <v>césar</v>
      </c>
      <c r="H8" s="67" t="str">
        <f t="shared" si="0"/>
        <v>valenzuela</v>
      </c>
      <c r="I8" s="67" t="s">
        <v>996</v>
      </c>
      <c r="J8" s="67" t="s">
        <v>1173</v>
      </c>
      <c r="K8" s="69" t="str">
        <f t="shared" si="1"/>
        <v>valenzuela, cesar</v>
      </c>
      <c r="L8" s="69">
        <f>VLOOKUP(K8,all!$N$2:$O$156,2,FALSE)</f>
        <v>30</v>
      </c>
      <c r="M8" s="69">
        <v>2</v>
      </c>
    </row>
    <row r="9" spans="1:13" ht="13" x14ac:dyDescent="0.25">
      <c r="A9" s="73" t="s">
        <v>1451</v>
      </c>
      <c r="B9" s="67" t="e" cm="1">
        <f t="array" aca="1" ref="B9:C9" ca="1">_xlfn.TEXTSPLIT(A9," ")</f>
        <v>#NAME?</v>
      </c>
      <c r="C9" s="67" t="e">
        <f ca="1"/>
        <v>#NAME?</v>
      </c>
      <c r="E9" s="67" t="s">
        <v>999</v>
      </c>
      <c r="F9" s="67" t="s">
        <v>1452</v>
      </c>
      <c r="G9" s="67" t="str">
        <f t="shared" si="0"/>
        <v>constanza</v>
      </c>
      <c r="H9" s="67" t="str">
        <f t="shared" si="0"/>
        <v>hube</v>
      </c>
      <c r="I9" s="67" t="s">
        <v>1001</v>
      </c>
      <c r="J9" s="67" t="s">
        <v>1603</v>
      </c>
      <c r="K9" s="69" t="str">
        <f t="shared" si="1"/>
        <v>hube, constanza</v>
      </c>
      <c r="L9" s="69">
        <f>VLOOKUP(K9,all!$N$2:$O$156,2,FALSE)</f>
        <v>38</v>
      </c>
      <c r="M9" s="69">
        <v>2</v>
      </c>
    </row>
    <row r="10" spans="1:13" ht="13" x14ac:dyDescent="0.25">
      <c r="A10" s="73" t="s">
        <v>1453</v>
      </c>
      <c r="B10" s="67" t="e" cm="1">
        <f t="array" aca="1" ref="B10:C10" ca="1">_xlfn.TEXTSPLIT(A10," ")</f>
        <v>#NAME?</v>
      </c>
      <c r="C10" s="67" t="e">
        <f ca="1"/>
        <v>#NAME?</v>
      </c>
      <c r="E10" s="67" t="s">
        <v>999</v>
      </c>
      <c r="F10" s="67" t="s">
        <v>1454</v>
      </c>
      <c r="G10" s="67" t="str">
        <f t="shared" si="0"/>
        <v>constanza</v>
      </c>
      <c r="H10" s="67" t="str">
        <f t="shared" si="0"/>
        <v>schonhaut</v>
      </c>
      <c r="I10" s="67" t="s">
        <v>1001</v>
      </c>
      <c r="J10" s="67" t="s">
        <v>1604</v>
      </c>
      <c r="K10" s="69" t="str">
        <f t="shared" si="1"/>
        <v>schonhaut, constanza</v>
      </c>
      <c r="L10" s="69">
        <f>VLOOKUP(K10,all!$N$2:$O$156,2,FALSE)</f>
        <v>37</v>
      </c>
      <c r="M10" s="69">
        <v>2</v>
      </c>
    </row>
    <row r="11" spans="1:13" ht="13" x14ac:dyDescent="0.25">
      <c r="A11" s="73" t="s">
        <v>1455</v>
      </c>
      <c r="B11" s="67" t="e" cm="1">
        <f t="array" aca="1" ref="B11:C11" ca="1">_xlfn.TEXTSPLIT(A11," ")</f>
        <v>#NAME?</v>
      </c>
      <c r="C11" s="67" t="e">
        <f ca="1"/>
        <v>#NAME?</v>
      </c>
      <c r="E11" s="67" t="s">
        <v>1456</v>
      </c>
      <c r="F11" s="67" t="s">
        <v>1457</v>
      </c>
      <c r="G11" s="67" t="str">
        <f t="shared" si="0"/>
        <v>cristián</v>
      </c>
      <c r="H11" s="67" t="str">
        <f t="shared" si="0"/>
        <v>monckeberg</v>
      </c>
      <c r="I11" s="67" t="s">
        <v>1458</v>
      </c>
      <c r="J11" s="67" t="s">
        <v>1605</v>
      </c>
      <c r="K11" s="69" t="str">
        <f t="shared" si="1"/>
        <v>monckeberg, cristian</v>
      </c>
      <c r="L11" s="69">
        <f>VLOOKUP(K11,all!$N$2:$O$156,2,FALSE)</f>
        <v>39</v>
      </c>
      <c r="M11" s="69">
        <v>2</v>
      </c>
    </row>
    <row r="12" spans="1:13" ht="13" x14ac:dyDescent="0.25">
      <c r="A12" s="73" t="s">
        <v>1459</v>
      </c>
      <c r="B12" s="67" t="e" cm="1">
        <f t="array" aca="1" ref="B12:C12" ca="1">_xlfn.TEXTSPLIT(A12," ")</f>
        <v>#NAME?</v>
      </c>
      <c r="C12" s="67" t="e">
        <f ca="1"/>
        <v>#NAME?</v>
      </c>
      <c r="E12" s="67" t="s">
        <v>1460</v>
      </c>
      <c r="F12" s="67" t="s">
        <v>1141</v>
      </c>
      <c r="G12" s="67" t="str">
        <f t="shared" si="0"/>
        <v>eduardo</v>
      </c>
      <c r="H12" s="67" t="str">
        <f t="shared" si="0"/>
        <v>castillo</v>
      </c>
      <c r="I12" s="67" t="s">
        <v>1461</v>
      </c>
      <c r="J12" s="67" t="s">
        <v>1143</v>
      </c>
      <c r="K12" s="69" t="str">
        <f t="shared" si="1"/>
        <v>castillo, eduardo</v>
      </c>
      <c r="L12" s="69">
        <f>VLOOKUP(K12,all!$N$2:$O$156,2,FALSE)</f>
        <v>47</v>
      </c>
      <c r="M12" s="69">
        <v>2</v>
      </c>
    </row>
    <row r="13" spans="1:13" ht="13" x14ac:dyDescent="0.25">
      <c r="A13" s="73" t="s">
        <v>1462</v>
      </c>
      <c r="B13" s="67" t="e" cm="1">
        <f t="array" aca="1" ref="B13:C13" ca="1">_xlfn.TEXTSPLIT(A13," ")</f>
        <v>#NAME?</v>
      </c>
      <c r="C13" s="67" t="e">
        <f ca="1"/>
        <v>#NAME?</v>
      </c>
      <c r="E13" s="67" t="s">
        <v>1460</v>
      </c>
      <c r="F13" s="67" t="s">
        <v>1463</v>
      </c>
      <c r="G13" s="67" t="str">
        <f t="shared" si="0"/>
        <v>eduardo</v>
      </c>
      <c r="H13" s="67" t="str">
        <f t="shared" si="0"/>
        <v>cretton</v>
      </c>
      <c r="I13" s="67" t="s">
        <v>1461</v>
      </c>
      <c r="J13" s="67" t="s">
        <v>1606</v>
      </c>
      <c r="K13" s="69" t="str">
        <f t="shared" si="1"/>
        <v>cretton, eduardo</v>
      </c>
      <c r="L13" s="69">
        <f>VLOOKUP(K13,all!$N$2:$O$156,2,FALSE)</f>
        <v>46</v>
      </c>
      <c r="M13" s="69">
        <v>2</v>
      </c>
    </row>
    <row r="14" spans="1:13" ht="13" x14ac:dyDescent="0.25">
      <c r="A14" s="73" t="s">
        <v>1464</v>
      </c>
      <c r="B14" s="67" t="e" cm="1">
        <f t="array" aca="1" ref="B14:C14" ca="1">_xlfn.TEXTSPLIT(A14," ")</f>
        <v>#NAME?</v>
      </c>
      <c r="C14" s="67" t="e">
        <f ca="1"/>
        <v>#NAME?</v>
      </c>
      <c r="E14" s="67" t="s">
        <v>1465</v>
      </c>
      <c r="F14" s="67" t="s">
        <v>1466</v>
      </c>
      <c r="G14" s="67" t="str">
        <f t="shared" si="0"/>
        <v>ericka</v>
      </c>
      <c r="H14" s="67" t="str">
        <f t="shared" si="0"/>
        <v>portilla</v>
      </c>
      <c r="I14" s="67" t="s">
        <v>1467</v>
      </c>
      <c r="J14" s="67" t="s">
        <v>1607</v>
      </c>
      <c r="K14" s="69" t="str">
        <f t="shared" si="1"/>
        <v>portilla, ericka</v>
      </c>
      <c r="L14" s="69">
        <f>VLOOKUP(K14,all!$N$2:$O$156,2,FALSE)</f>
        <v>52</v>
      </c>
      <c r="M14" s="69">
        <v>2</v>
      </c>
    </row>
    <row r="15" spans="1:13" ht="13" x14ac:dyDescent="0.25">
      <c r="A15" s="73" t="s">
        <v>1468</v>
      </c>
      <c r="B15" s="67" t="e" cm="1">
        <f t="array" aca="1" ref="B15:C15" ca="1">_xlfn.TEXTSPLIT(A15," ")</f>
        <v>#NAME?</v>
      </c>
      <c r="C15" s="67" t="e">
        <f ca="1"/>
        <v>#NAME?</v>
      </c>
      <c r="E15" s="67" t="s">
        <v>1469</v>
      </c>
      <c r="F15" s="67" t="s">
        <v>1470</v>
      </c>
      <c r="G15" s="67" t="str">
        <f t="shared" si="0"/>
        <v>felipe</v>
      </c>
      <c r="H15" s="67" t="str">
        <f t="shared" si="0"/>
        <v>harboe</v>
      </c>
      <c r="I15" s="67" t="s">
        <v>1471</v>
      </c>
      <c r="J15" s="67" t="s">
        <v>1608</v>
      </c>
      <c r="K15" s="69" t="str">
        <f t="shared" si="1"/>
        <v>harboe, felipe</v>
      </c>
      <c r="L15" s="69">
        <f>VLOOKUP(K15,all!$N$2:$O$156,2,FALSE)</f>
        <v>53</v>
      </c>
      <c r="M15" s="69">
        <v>2</v>
      </c>
    </row>
    <row r="16" spans="1:13" ht="13" x14ac:dyDescent="0.25">
      <c r="A16" s="73" t="s">
        <v>1472</v>
      </c>
      <c r="B16" s="67" t="e" cm="1">
        <f t="array" aca="1" ref="B16:C16" ca="1">_xlfn.TEXTSPLIT(A16," ")</f>
        <v>#NAME?</v>
      </c>
      <c r="C16" s="67" t="e">
        <f ca="1"/>
        <v>#NAME?</v>
      </c>
      <c r="E16" s="67" t="s">
        <v>1469</v>
      </c>
      <c r="F16" s="67" t="s">
        <v>1473</v>
      </c>
      <c r="G16" s="67" t="str">
        <f t="shared" si="0"/>
        <v>felipe</v>
      </c>
      <c r="H16" s="67" t="str">
        <f t="shared" si="0"/>
        <v>mena</v>
      </c>
      <c r="I16" s="67" t="s">
        <v>1471</v>
      </c>
      <c r="J16" s="67" t="s">
        <v>1609</v>
      </c>
      <c r="K16" s="69" t="str">
        <f t="shared" si="1"/>
        <v>mena, felipe</v>
      </c>
      <c r="L16" s="69">
        <f>VLOOKUP(K16,all!$N$2:$O$156,2,FALSE)</f>
        <v>54</v>
      </c>
      <c r="M16" s="69">
        <v>2</v>
      </c>
    </row>
    <row r="17" spans="1:13" ht="13" x14ac:dyDescent="0.25">
      <c r="A17" s="73" t="s">
        <v>1474</v>
      </c>
      <c r="B17" s="67" t="e" cm="1">
        <f t="array" aca="1" ref="B17:C17" ca="1">_xlfn.TEXTSPLIT(A17," ")</f>
        <v>#NAME?</v>
      </c>
      <c r="C17" s="67" t="e">
        <f ca="1"/>
        <v>#NAME?</v>
      </c>
      <c r="E17" s="67" t="s">
        <v>1475</v>
      </c>
      <c r="F17" s="67" t="s">
        <v>1476</v>
      </c>
      <c r="G17" s="67" t="str">
        <f t="shared" si="0"/>
        <v>fuad</v>
      </c>
      <c r="H17" s="67" t="str">
        <f t="shared" si="0"/>
        <v>chahín</v>
      </c>
      <c r="I17" s="67" t="s">
        <v>1477</v>
      </c>
      <c r="J17" s="67" t="s">
        <v>1610</v>
      </c>
      <c r="K17" s="69" t="str">
        <f t="shared" si="1"/>
        <v>chahin, fuad</v>
      </c>
      <c r="L17" s="69">
        <f>VLOOKUP(K17,all!$N$2:$O$156,2,FALSE)</f>
        <v>62</v>
      </c>
      <c r="M17" s="69">
        <v>2</v>
      </c>
    </row>
    <row r="18" spans="1:13" ht="13" x14ac:dyDescent="0.25">
      <c r="A18" s="73" t="s">
        <v>1478</v>
      </c>
      <c r="B18" s="67" t="e" cm="1">
        <f t="array" aca="1" ref="B18:C18" ca="1">_xlfn.TEXTSPLIT(A18," ")</f>
        <v>#NAME?</v>
      </c>
      <c r="C18" s="67" t="e">
        <f ca="1"/>
        <v>#NAME?</v>
      </c>
      <c r="E18" s="67" t="s">
        <v>1479</v>
      </c>
      <c r="F18" s="67" t="s">
        <v>1480</v>
      </c>
      <c r="G18" s="67" t="str">
        <f t="shared" si="0"/>
        <v>geoconda</v>
      </c>
      <c r="H18" s="67" t="str">
        <f t="shared" si="0"/>
        <v>navarrete</v>
      </c>
      <c r="I18" s="67" t="s">
        <v>1481</v>
      </c>
      <c r="J18" s="67" t="s">
        <v>1611</v>
      </c>
      <c r="K18" s="69" t="str">
        <f t="shared" si="1"/>
        <v>navarrete, geoconda</v>
      </c>
      <c r="L18" s="69">
        <f>VLOOKUP(K18,all!$N$2:$O$156,2,FALSE)</f>
        <v>64</v>
      </c>
      <c r="M18" s="69">
        <v>2</v>
      </c>
    </row>
    <row r="19" spans="1:13" ht="13" x14ac:dyDescent="0.25">
      <c r="A19" s="73" t="s">
        <v>1482</v>
      </c>
      <c r="B19" s="67" t="e" cm="1">
        <f t="array" aca="1" ref="B19:C19" ca="1">_xlfn.TEXTSPLIT(A19," ")</f>
        <v>#NAME?</v>
      </c>
      <c r="C19" s="67" t="e">
        <f ca="1"/>
        <v>#NAME?</v>
      </c>
      <c r="E19" s="67" t="s">
        <v>1060</v>
      </c>
      <c r="F19" s="67" t="s">
        <v>1483</v>
      </c>
      <c r="G19" s="67" t="str">
        <f t="shared" si="0"/>
        <v>giovanna</v>
      </c>
      <c r="H19" s="67" t="str">
        <f t="shared" si="0"/>
        <v>roa</v>
      </c>
      <c r="I19" s="67" t="s">
        <v>1062</v>
      </c>
      <c r="J19" s="67" t="s">
        <v>1612</v>
      </c>
      <c r="K19" s="69" t="str">
        <f t="shared" si="1"/>
        <v>roa, giovanna</v>
      </c>
      <c r="L19" s="69">
        <f>VLOOKUP(K19,all!$N$2:$O$156,2,FALSE)</f>
        <v>65</v>
      </c>
      <c r="M19" s="69">
        <v>2</v>
      </c>
    </row>
    <row r="20" spans="1:13" ht="13" x14ac:dyDescent="0.25">
      <c r="A20" s="73" t="s">
        <v>1484</v>
      </c>
      <c r="B20" s="67" t="e" cm="1">
        <f t="array" aca="1" ref="B20:C20" ca="1">_xlfn.TEXTSPLIT(A20," ")</f>
        <v>#NAME?</v>
      </c>
      <c r="C20" s="67" t="e">
        <f ca="1"/>
        <v>#NAME?</v>
      </c>
      <c r="E20" s="67" t="s">
        <v>1485</v>
      </c>
      <c r="F20" s="67" t="s">
        <v>1486</v>
      </c>
      <c r="G20" s="67" t="str">
        <f t="shared" si="0"/>
        <v>harry</v>
      </c>
      <c r="H20" s="67" t="str">
        <f t="shared" si="0"/>
        <v>jürgensen</v>
      </c>
      <c r="I20" s="67" t="s">
        <v>1487</v>
      </c>
      <c r="J20" s="67" t="s">
        <v>1613</v>
      </c>
      <c r="K20" s="69" t="str">
        <f t="shared" si="1"/>
        <v>jurgensen, harry</v>
      </c>
      <c r="L20" s="69">
        <f>VLOOKUP(K20,all!$N$2:$O$156,2,FALSE)</f>
        <v>69</v>
      </c>
      <c r="M20" s="69">
        <v>2</v>
      </c>
    </row>
    <row r="21" spans="1:13" ht="13" x14ac:dyDescent="0.25">
      <c r="A21" s="73" t="s">
        <v>1488</v>
      </c>
      <c r="B21" s="67" t="e" cm="1">
        <f t="array" aca="1" ref="B21:C21" ca="1">_xlfn.TEXTSPLIT(A21," ")</f>
        <v>#NAME?</v>
      </c>
      <c r="C21" s="67" t="e">
        <f ca="1"/>
        <v>#NAME?</v>
      </c>
      <c r="E21" s="67" t="s">
        <v>1489</v>
      </c>
      <c r="F21" s="67" t="s">
        <v>1490</v>
      </c>
      <c r="G21" s="67" t="str">
        <f t="shared" si="0"/>
        <v>hernán</v>
      </c>
      <c r="H21" s="67" t="str">
        <f t="shared" si="0"/>
        <v>larraín</v>
      </c>
      <c r="I21" s="67" t="s">
        <v>1491</v>
      </c>
      <c r="J21" s="67" t="s">
        <v>1614</v>
      </c>
      <c r="K21" s="69" t="str">
        <f t="shared" si="1"/>
        <v>larrain, hernan</v>
      </c>
      <c r="L21" s="69">
        <f>VLOOKUP(K21,all!$N$2:$O$156,2,FALSE)</f>
        <v>72</v>
      </c>
      <c r="M21" s="69">
        <v>2</v>
      </c>
    </row>
    <row r="22" spans="1:13" ht="13" x14ac:dyDescent="0.25">
      <c r="A22" s="73" t="s">
        <v>1492</v>
      </c>
      <c r="B22" s="67" t="e" cm="1">
        <f t="array" aca="1" ref="B22:C22" ca="1">_xlfn.TEXTSPLIT(A22," ")</f>
        <v>#NAME?</v>
      </c>
      <c r="C22" s="67" t="e">
        <f ca="1"/>
        <v>#NAME?</v>
      </c>
      <c r="E22" s="67" t="s">
        <v>1489</v>
      </c>
      <c r="F22" s="67" t="s">
        <v>1493</v>
      </c>
      <c r="G22" s="67" t="str">
        <f t="shared" si="0"/>
        <v>hernán</v>
      </c>
      <c r="H22" s="67" t="str">
        <f t="shared" si="0"/>
        <v>velásquez</v>
      </c>
      <c r="I22" s="67" t="s">
        <v>1491</v>
      </c>
      <c r="J22" s="67" t="s">
        <v>1615</v>
      </c>
      <c r="K22" s="69" t="str">
        <f t="shared" si="1"/>
        <v>velasquez, hernan</v>
      </c>
      <c r="L22" s="69">
        <f>VLOOKUP(K22,all!$N$2:$O$156,2,FALSE)</f>
        <v>71</v>
      </c>
      <c r="M22" s="69">
        <v>2</v>
      </c>
    </row>
    <row r="23" spans="1:13" ht="13" x14ac:dyDescent="0.25">
      <c r="A23" s="73" t="s">
        <v>1494</v>
      </c>
      <c r="B23" s="67" t="e" cm="1">
        <f t="array" aca="1" ref="B23:C23" ca="1">_xlfn.TEXTSPLIT(A23," ")</f>
        <v>#NAME?</v>
      </c>
      <c r="C23" s="67" t="e">
        <f ca="1"/>
        <v>#NAME?</v>
      </c>
      <c r="E23" s="67" t="s">
        <v>1495</v>
      </c>
      <c r="F23" s="67" t="s">
        <v>1496</v>
      </c>
      <c r="G23" s="67" t="str">
        <f t="shared" si="0"/>
        <v>hugo</v>
      </c>
      <c r="H23" s="67" t="str">
        <f t="shared" si="0"/>
        <v>gutiérrez</v>
      </c>
      <c r="I23" s="67" t="s">
        <v>1497</v>
      </c>
      <c r="J23" s="67" t="s">
        <v>1616</v>
      </c>
      <c r="K23" s="69" t="str">
        <f t="shared" si="1"/>
        <v>gutierrez, hugo</v>
      </c>
      <c r="L23" s="69">
        <f>VLOOKUP(K23,all!$N$2:$O$156,2,FALSE)</f>
        <v>73</v>
      </c>
      <c r="M23" s="69">
        <v>2</v>
      </c>
    </row>
    <row r="24" spans="1:13" ht="13" x14ac:dyDescent="0.25">
      <c r="A24" s="73" t="s">
        <v>1498</v>
      </c>
      <c r="B24" s="67" t="e" cm="1">
        <f t="array" aca="1" ref="B24:C24" ca="1">_xlfn.TEXTSPLIT(A24," ")</f>
        <v>#NAME?</v>
      </c>
      <c r="C24" s="67" t="e">
        <f ca="1"/>
        <v>#NAME?</v>
      </c>
      <c r="E24" s="67" t="s">
        <v>1499</v>
      </c>
      <c r="F24" s="67" t="s">
        <v>1500</v>
      </c>
      <c r="G24" s="67" t="str">
        <f t="shared" si="0"/>
        <v>ignacio</v>
      </c>
      <c r="H24" s="67" t="str">
        <f t="shared" si="0"/>
        <v>achurra</v>
      </c>
      <c r="I24" s="67" t="s">
        <v>1501</v>
      </c>
      <c r="J24" s="67" t="s">
        <v>1617</v>
      </c>
      <c r="K24" s="69" t="str">
        <f t="shared" si="1"/>
        <v>achurra, ignacio</v>
      </c>
      <c r="L24" s="69">
        <f>VLOOKUP(K24,all!$N$2:$O$156,2,FALSE)</f>
        <v>74</v>
      </c>
      <c r="M24" s="69">
        <v>2</v>
      </c>
    </row>
    <row r="25" spans="1:13" ht="13" x14ac:dyDescent="0.25">
      <c r="A25" s="73" t="s">
        <v>1502</v>
      </c>
      <c r="B25" s="67" t="e" cm="1">
        <f t="array" aca="1" ref="B25:C25" ca="1">_xlfn.TEXTSPLIT(A25," ")</f>
        <v>#NAME?</v>
      </c>
      <c r="C25" s="67" t="e">
        <f ca="1"/>
        <v>#NAME?</v>
      </c>
      <c r="E25" s="67" t="s">
        <v>1503</v>
      </c>
      <c r="F25" s="67" t="s">
        <v>1504</v>
      </c>
      <c r="G25" s="67" t="str">
        <f t="shared" si="0"/>
        <v>julio</v>
      </c>
      <c r="H25" s="67" t="str">
        <f t="shared" si="0"/>
        <v>álvarez</v>
      </c>
      <c r="I25" s="67" t="s">
        <v>1505</v>
      </c>
      <c r="J25" s="67" t="s">
        <v>1618</v>
      </c>
      <c r="K25" s="69" t="str">
        <f t="shared" si="1"/>
        <v>alvarez, julio</v>
      </c>
      <c r="L25" s="69">
        <f>VLOOKUP(K25,all!$N$2:$O$156,2,FALSE)</f>
        <v>87</v>
      </c>
      <c r="M25" s="69">
        <v>2</v>
      </c>
    </row>
    <row r="26" spans="1:13" ht="13" x14ac:dyDescent="0.25">
      <c r="A26" s="73" t="s">
        <v>1506</v>
      </c>
      <c r="B26" s="67" t="e" cm="1">
        <f t="array" aca="1" ref="B26:C26" ca="1">_xlfn.TEXTSPLIT(A26," ")</f>
        <v>#NAME?</v>
      </c>
      <c r="C26" s="67" t="e">
        <f ca="1"/>
        <v>#NAME?</v>
      </c>
      <c r="E26" s="67" t="s">
        <v>1507</v>
      </c>
      <c r="F26" s="67" t="s">
        <v>1508</v>
      </c>
      <c r="G26" s="67" t="str">
        <f t="shared" si="0"/>
        <v>katerine</v>
      </c>
      <c r="H26" s="67" t="str">
        <f t="shared" si="0"/>
        <v>montealegre</v>
      </c>
      <c r="I26" s="67" t="s">
        <v>1509</v>
      </c>
      <c r="J26" s="67" t="s">
        <v>1619</v>
      </c>
      <c r="K26" s="69" t="str">
        <f t="shared" si="1"/>
        <v>montealegre, katerine</v>
      </c>
      <c r="L26" s="69">
        <f>VLOOKUP(K26,all!$N$2:$O$156,2,FALSE)</f>
        <v>88</v>
      </c>
      <c r="M26" s="69">
        <v>2</v>
      </c>
    </row>
    <row r="27" spans="1:13" ht="13" x14ac:dyDescent="0.25">
      <c r="A27" s="73" t="s">
        <v>1510</v>
      </c>
      <c r="B27" s="67" t="e" cm="1">
        <f t="array" aca="1" ref="B27:C27" ca="1">_xlfn.TEXTSPLIT(A27," ")</f>
        <v>#NAME?</v>
      </c>
      <c r="C27" s="67" t="e">
        <f ca="1"/>
        <v>#NAME?</v>
      </c>
      <c r="E27" s="67" t="s">
        <v>1511</v>
      </c>
      <c r="F27" s="67" t="s">
        <v>1512</v>
      </c>
      <c r="G27" s="67" t="str">
        <f t="shared" si="0"/>
        <v>luciano</v>
      </c>
      <c r="H27" s="67" t="str">
        <f t="shared" si="0"/>
        <v>silva</v>
      </c>
      <c r="I27" s="67" t="s">
        <v>1513</v>
      </c>
      <c r="J27" s="67" t="s">
        <v>1620</v>
      </c>
      <c r="K27" s="69" t="str">
        <f t="shared" si="1"/>
        <v>silva, luciano</v>
      </c>
      <c r="L27" s="69">
        <f>VLOOKUP(K27,all!$N$2:$O$156,2,FALSE)</f>
        <v>93</v>
      </c>
      <c r="M27" s="69">
        <v>2</v>
      </c>
    </row>
    <row r="28" spans="1:13" ht="13" x14ac:dyDescent="0.25">
      <c r="A28" s="73" t="s">
        <v>1514</v>
      </c>
      <c r="B28" s="67" t="e" cm="1">
        <f t="array" aca="1" ref="B28:C28" ca="1">_xlfn.TEXTSPLIT(A28," ")</f>
        <v>#NAME?</v>
      </c>
      <c r="C28" s="67" t="e">
        <f ca="1"/>
        <v>#NAME?</v>
      </c>
      <c r="E28" s="67" t="s">
        <v>1123</v>
      </c>
      <c r="F28" s="67" t="s">
        <v>1515</v>
      </c>
      <c r="G28" s="67" t="str">
        <f t="shared" si="0"/>
        <v>luis</v>
      </c>
      <c r="H28" s="67" t="str">
        <f t="shared" si="0"/>
        <v>mayol</v>
      </c>
      <c r="I28" s="67" t="s">
        <v>1125</v>
      </c>
      <c r="J28" s="67" t="s">
        <v>1621</v>
      </c>
      <c r="K28" s="69" t="str">
        <f t="shared" si="1"/>
        <v>mayol, luis</v>
      </c>
      <c r="L28" s="69">
        <f>VLOOKUP(K28,all!$N$2:$O$156,2,FALSE)</f>
        <v>95</v>
      </c>
      <c r="M28" s="69">
        <v>2</v>
      </c>
    </row>
    <row r="29" spans="1:13" ht="13" x14ac:dyDescent="0.25">
      <c r="A29" s="73" t="s">
        <v>1516</v>
      </c>
      <c r="B29" s="67" t="e" cm="1">
        <f t="array" aca="1" ref="B29:C29" ca="1">_xlfn.TEXTSPLIT(A29," ")</f>
        <v>#NAME?</v>
      </c>
      <c r="C29" s="67" t="e">
        <f ca="1"/>
        <v>#NAME?</v>
      </c>
      <c r="E29" s="67" t="s">
        <v>1517</v>
      </c>
      <c r="F29" s="67" t="s">
        <v>1518</v>
      </c>
      <c r="G29" s="67" t="str">
        <f t="shared" si="0"/>
        <v>malucha</v>
      </c>
      <c r="H29" s="67" t="str">
        <f t="shared" si="0"/>
        <v>pinto</v>
      </c>
      <c r="I29" s="67" t="s">
        <v>1519</v>
      </c>
      <c r="J29" s="67" t="s">
        <v>1622</v>
      </c>
      <c r="K29" s="69" t="str">
        <f t="shared" si="1"/>
        <v>pinto, malucha</v>
      </c>
      <c r="L29" s="69">
        <f>VLOOKUP(K29,all!$N$2:$O$156,2,FALSE)</f>
        <v>98</v>
      </c>
      <c r="M29" s="69">
        <v>2</v>
      </c>
    </row>
    <row r="30" spans="1:13" ht="13" x14ac:dyDescent="0.25">
      <c r="A30" s="73" t="s">
        <v>1520</v>
      </c>
      <c r="B30" s="67" t="e" cm="1">
        <f t="array" aca="1" ref="B30:C30" ca="1">_xlfn.TEXTSPLIT(A30," ")</f>
        <v>#NAME?</v>
      </c>
      <c r="C30" s="67" t="e">
        <f ca="1"/>
        <v>#NAME?</v>
      </c>
      <c r="E30" s="67" t="s">
        <v>1521</v>
      </c>
      <c r="F30" s="67" t="s">
        <v>1522</v>
      </c>
      <c r="G30" s="67" t="str">
        <f t="shared" si="0"/>
        <v>marcos</v>
      </c>
      <c r="H30" s="67" t="str">
        <f t="shared" si="0"/>
        <v>barraza</v>
      </c>
      <c r="I30" s="67" t="s">
        <v>1523</v>
      </c>
      <c r="J30" s="67" t="s">
        <v>1623</v>
      </c>
      <c r="K30" s="69" t="str">
        <f t="shared" si="1"/>
        <v>barraza, marcos</v>
      </c>
      <c r="L30" s="69">
        <f>VLOOKUP(K30,all!$N$2:$O$156,2,FALSE)</f>
        <v>104</v>
      </c>
      <c r="M30" s="69">
        <v>2</v>
      </c>
    </row>
    <row r="31" spans="1:13" ht="13" x14ac:dyDescent="0.25">
      <c r="A31" s="73" t="s">
        <v>1524</v>
      </c>
      <c r="B31" s="67" t="e" cm="1">
        <f t="array" aca="1" ref="B31:C31" ca="1">_xlfn.TEXTSPLIT(A31," ")</f>
        <v>#NAME?</v>
      </c>
      <c r="C31" s="67" t="e">
        <f ca="1"/>
        <v>#NAME?</v>
      </c>
      <c r="E31" s="67" t="s">
        <v>1525</v>
      </c>
      <c r="F31" s="67" t="s">
        <v>1526</v>
      </c>
      <c r="G31" s="67" t="str">
        <f t="shared" si="0"/>
        <v>margarita</v>
      </c>
      <c r="H31" s="67" t="str">
        <f t="shared" si="0"/>
        <v>letelier</v>
      </c>
      <c r="I31" s="67" t="s">
        <v>1527</v>
      </c>
      <c r="J31" s="67" t="s">
        <v>1624</v>
      </c>
      <c r="K31" s="69" t="str">
        <f t="shared" si="1"/>
        <v>letelier, margarita</v>
      </c>
      <c r="L31" s="69">
        <f>VLOOKUP(K31,all!$N$2:$O$156,2,FALSE)</f>
        <v>34</v>
      </c>
      <c r="M31" s="69">
        <v>2</v>
      </c>
    </row>
    <row r="32" spans="1:13" ht="13" x14ac:dyDescent="0.25">
      <c r="A32" s="73" t="s">
        <v>1528</v>
      </c>
      <c r="B32" s="67" t="e" cm="1">
        <f t="array" aca="1" ref="B32:C32" ca="1">_xlfn.TEXTSPLIT(A32," ")</f>
        <v>#NAME?</v>
      </c>
      <c r="C32" s="67" t="e">
        <f ca="1"/>
        <v>#NAME?</v>
      </c>
      <c r="E32" s="67" t="s">
        <v>1525</v>
      </c>
      <c r="F32" s="67" t="s">
        <v>1529</v>
      </c>
      <c r="G32" s="67" t="str">
        <f t="shared" si="0"/>
        <v>margarita</v>
      </c>
      <c r="H32" s="67" t="str">
        <f t="shared" si="0"/>
        <v>vargas</v>
      </c>
      <c r="I32" s="67" t="s">
        <v>1527</v>
      </c>
      <c r="J32" s="67" t="s">
        <v>1625</v>
      </c>
      <c r="K32" s="69" t="str">
        <f t="shared" si="1"/>
        <v>vargas, margarita</v>
      </c>
      <c r="L32" s="69">
        <f>VLOOKUP(K32,all!$N$2:$O$156,2,FALSE)</f>
        <v>105</v>
      </c>
      <c r="M32" s="69">
        <v>2</v>
      </c>
    </row>
    <row r="33" spans="1:13" ht="13" x14ac:dyDescent="0.25">
      <c r="A33" s="73" t="s">
        <v>1530</v>
      </c>
      <c r="B33" s="67" t="e" cm="1">
        <f t="array" aca="1" ref="B33:D33" ca="1">_xlfn.TEXTSPLIT(A33," ")</f>
        <v>#NAME?</v>
      </c>
      <c r="C33" s="67" t="e">
        <f ca="1"/>
        <v>#NAME?</v>
      </c>
      <c r="D33" s="67" t="e">
        <f ca="1"/>
        <v>#NAME?</v>
      </c>
      <c r="E33" s="67" t="s">
        <v>1531</v>
      </c>
      <c r="F33" s="67" t="s">
        <v>1532</v>
      </c>
      <c r="G33" s="67" t="str">
        <f t="shared" si="0"/>
        <v>maría josé</v>
      </c>
      <c r="H33" s="67" t="str">
        <f t="shared" si="0"/>
        <v>oyarzún</v>
      </c>
      <c r="I33" s="67" t="s">
        <v>1533</v>
      </c>
      <c r="J33" s="67" t="s">
        <v>1626</v>
      </c>
      <c r="K33" s="69" t="str">
        <f t="shared" si="1"/>
        <v>oyarzun, maria jose</v>
      </c>
      <c r="L33" s="69">
        <f>VLOOKUP(K33,all!$N$2:$O$156,2,FALSE)</f>
        <v>109</v>
      </c>
      <c r="M33" s="69">
        <v>2</v>
      </c>
    </row>
    <row r="34" spans="1:13" ht="13" x14ac:dyDescent="0.25">
      <c r="A34" s="73" t="s">
        <v>1534</v>
      </c>
      <c r="B34" s="67" t="e" cm="1">
        <f t="array" aca="1" ref="B34:C34" ca="1">_xlfn.TEXTSPLIT(A34," ")</f>
        <v>#NAME?</v>
      </c>
      <c r="C34" s="67" t="e">
        <f ca="1"/>
        <v>#NAME?</v>
      </c>
      <c r="E34" s="67" t="s">
        <v>1535</v>
      </c>
      <c r="F34" s="67" t="s">
        <v>1529</v>
      </c>
      <c r="G34" s="67" t="str">
        <f t="shared" si="0"/>
        <v>mario</v>
      </c>
      <c r="H34" s="67" t="str">
        <f t="shared" si="0"/>
        <v>vargas</v>
      </c>
      <c r="I34" s="67" t="s">
        <v>1536</v>
      </c>
      <c r="J34" s="67" t="s">
        <v>1625</v>
      </c>
      <c r="K34" s="69" t="str">
        <f t="shared" si="1"/>
        <v>vargas, mario</v>
      </c>
      <c r="L34" s="69">
        <f>VLOOKUP(K34,all!$N$2:$O$156,2,FALSE)</f>
        <v>114</v>
      </c>
      <c r="M34" s="69">
        <v>2</v>
      </c>
    </row>
    <row r="35" spans="1:13" ht="13" x14ac:dyDescent="0.25">
      <c r="A35" s="73" t="s">
        <v>1537</v>
      </c>
      <c r="B35" s="67" t="e" cm="1">
        <f t="array" aca="1" ref="B35:C35" ca="1">_xlfn.TEXTSPLIT(A35," ")</f>
        <v>#NAME?</v>
      </c>
      <c r="C35" s="67" t="e">
        <f ca="1"/>
        <v>#NAME?</v>
      </c>
      <c r="E35" s="67" t="s">
        <v>1101</v>
      </c>
      <c r="F35" s="67" t="s">
        <v>1538</v>
      </c>
      <c r="G35" s="67" t="str">
        <f t="shared" si="0"/>
        <v>martín</v>
      </c>
      <c r="H35" s="67" t="str">
        <f t="shared" si="0"/>
        <v>arrau</v>
      </c>
      <c r="I35" s="67" t="s">
        <v>1103</v>
      </c>
      <c r="J35" s="67" t="s">
        <v>1627</v>
      </c>
      <c r="K35" s="69" t="str">
        <f t="shared" si="1"/>
        <v>arrau, martin</v>
      </c>
      <c r="L35" s="69">
        <f>VLOOKUP(K35,all!$N$2:$O$156,2,FALSE)</f>
        <v>25</v>
      </c>
      <c r="M35" s="69">
        <v>2</v>
      </c>
    </row>
    <row r="36" spans="1:13" ht="13" x14ac:dyDescent="0.25">
      <c r="A36" s="73" t="s">
        <v>1539</v>
      </c>
      <c r="B36" s="67" t="e" cm="1">
        <f t="array" aca="1" ref="B36:C36" ca="1">_xlfn.TEXTSPLIT(A36," ")</f>
        <v>#NAME?</v>
      </c>
      <c r="C36" s="67" t="e">
        <f ca="1"/>
        <v>#NAME?</v>
      </c>
      <c r="E36" s="67" t="s">
        <v>1540</v>
      </c>
      <c r="F36" s="67" t="s">
        <v>1541</v>
      </c>
      <c r="G36" s="67" t="str">
        <f t="shared" si="0"/>
        <v>matías</v>
      </c>
      <c r="H36" s="67" t="str">
        <f t="shared" si="0"/>
        <v>orellana</v>
      </c>
      <c r="I36" s="67" t="s">
        <v>1542</v>
      </c>
      <c r="J36" s="67" t="s">
        <v>1628</v>
      </c>
      <c r="K36" s="69" t="str">
        <f t="shared" si="1"/>
        <v>orellana, matias</v>
      </c>
      <c r="L36" s="69">
        <f>VLOOKUP(K36,all!$N$2:$O$156,2,FALSE)</f>
        <v>115</v>
      </c>
      <c r="M36" s="69">
        <v>2</v>
      </c>
    </row>
    <row r="37" spans="1:13" ht="13" x14ac:dyDescent="0.25">
      <c r="A37" s="73" t="s">
        <v>1543</v>
      </c>
      <c r="B37" s="67" t="e" cm="1">
        <f t="array" aca="1" ref="B37:C37" ca="1">_xlfn.TEXTSPLIT(A37," ")</f>
        <v>#NAME?</v>
      </c>
      <c r="C37" s="67" t="e">
        <f ca="1"/>
        <v>#NAME?</v>
      </c>
      <c r="E37" s="67" t="s">
        <v>1544</v>
      </c>
      <c r="F37" s="67" t="s">
        <v>1410</v>
      </c>
      <c r="G37" s="67" t="str">
        <f t="shared" si="0"/>
        <v>maximiliano</v>
      </c>
      <c r="H37" s="67" t="str">
        <f t="shared" si="0"/>
        <v>hurtado</v>
      </c>
      <c r="I37" s="67" t="s">
        <v>1545</v>
      </c>
      <c r="J37" s="67" t="s">
        <v>1412</v>
      </c>
      <c r="K37" s="69" t="str">
        <f t="shared" si="1"/>
        <v>hurtado, maximiliano</v>
      </c>
      <c r="L37" s="69">
        <f>VLOOKUP(K37,all!$N$2:$O$156,2,FALSE)</f>
        <v>117</v>
      </c>
      <c r="M37" s="69">
        <v>2</v>
      </c>
    </row>
    <row r="38" spans="1:13" ht="13" x14ac:dyDescent="0.25">
      <c r="A38" s="73" t="s">
        <v>1546</v>
      </c>
      <c r="B38" s="67" t="e" cm="1">
        <f t="array" aca="1" ref="B38:C38" ca="1">_xlfn.TEXTSPLIT(A38," ")</f>
        <v>#NAME?</v>
      </c>
      <c r="C38" s="67" t="e">
        <f ca="1"/>
        <v>#NAME?</v>
      </c>
      <c r="E38" s="67" t="s">
        <v>1547</v>
      </c>
      <c r="F38" s="67" t="s">
        <v>1548</v>
      </c>
      <c r="G38" s="67" t="str">
        <f t="shared" si="0"/>
        <v>nicolás</v>
      </c>
      <c r="H38" s="67" t="str">
        <f t="shared" si="0"/>
        <v>núñez</v>
      </c>
      <c r="I38" s="67" t="s">
        <v>1549</v>
      </c>
      <c r="J38" s="67" t="s">
        <v>1629</v>
      </c>
      <c r="K38" s="69" t="str">
        <f t="shared" si="1"/>
        <v>nunez, nicolas</v>
      </c>
      <c r="L38" s="69">
        <f>VLOOKUP(K38,all!$N$2:$O$156,2,FALSE)</f>
        <v>121</v>
      </c>
      <c r="M38" s="69">
        <v>2</v>
      </c>
    </row>
    <row r="39" spans="1:13" ht="13" x14ac:dyDescent="0.25">
      <c r="A39" s="73" t="s">
        <v>1550</v>
      </c>
      <c r="B39" s="67" t="e" cm="1">
        <f t="array" aca="1" ref="B39:C39" ca="1">_xlfn.TEXTSPLIT(A39," ")</f>
        <v>#NAME?</v>
      </c>
      <c r="C39" s="67" t="e">
        <f ca="1"/>
        <v>#NAME?</v>
      </c>
      <c r="E39" s="67" t="s">
        <v>1551</v>
      </c>
      <c r="F39" s="67" t="s">
        <v>1552</v>
      </c>
      <c r="G39" s="67" t="str">
        <f t="shared" si="0"/>
        <v>pablo</v>
      </c>
      <c r="H39" s="67" t="str">
        <f t="shared" si="0"/>
        <v>toloza</v>
      </c>
      <c r="I39" s="67" t="s">
        <v>1553</v>
      </c>
      <c r="J39" s="67" t="s">
        <v>1630</v>
      </c>
      <c r="K39" s="69" t="str">
        <f t="shared" si="1"/>
        <v>toloza, pablo</v>
      </c>
      <c r="L39" s="69">
        <f>VLOOKUP(K39,all!$N$2:$O$156,2,FALSE)</f>
        <v>122</v>
      </c>
      <c r="M39" s="69">
        <v>2</v>
      </c>
    </row>
    <row r="40" spans="1:13" ht="13" x14ac:dyDescent="0.25">
      <c r="A40" s="73" t="s">
        <v>1554</v>
      </c>
      <c r="B40" s="67" t="e" cm="1">
        <f t="array" aca="1" ref="B40:C40" ca="1">_xlfn.TEXTSPLIT(A40," ")</f>
        <v>#NAME?</v>
      </c>
      <c r="C40" s="67" t="e">
        <f ca="1"/>
        <v>#NAME?</v>
      </c>
      <c r="E40" s="67" t="s">
        <v>1555</v>
      </c>
      <c r="F40" s="67" t="s">
        <v>1061</v>
      </c>
      <c r="G40" s="67" t="str">
        <f t="shared" si="0"/>
        <v>paola</v>
      </c>
      <c r="H40" s="67" t="str">
        <f t="shared" si="0"/>
        <v>grandón</v>
      </c>
      <c r="I40" s="67" t="s">
        <v>1556</v>
      </c>
      <c r="J40" s="67" t="s">
        <v>1063</v>
      </c>
      <c r="K40" s="69" t="str">
        <f t="shared" si="1"/>
        <v>grandon, paola</v>
      </c>
      <c r="L40" s="69">
        <f>VLOOKUP(K40,all!$N$2:$O$156,2,FALSE)</f>
        <v>123</v>
      </c>
      <c r="M40" s="69">
        <v>2</v>
      </c>
    </row>
    <row r="41" spans="1:13" ht="13" x14ac:dyDescent="0.25">
      <c r="A41" s="73" t="s">
        <v>1557</v>
      </c>
      <c r="B41" s="67" t="e" cm="1">
        <f t="array" aca="1" ref="B41:C41" ca="1">_xlfn.TEXTSPLIT(A41," ")</f>
        <v>#NAME?</v>
      </c>
      <c r="C41" s="67" t="e">
        <f ca="1"/>
        <v>#NAME?</v>
      </c>
      <c r="E41" s="67" t="s">
        <v>1165</v>
      </c>
      <c r="F41" s="67" t="s">
        <v>1558</v>
      </c>
      <c r="G41" s="67" t="str">
        <f t="shared" si="0"/>
        <v>patricia</v>
      </c>
      <c r="H41" s="67" t="str">
        <f t="shared" si="0"/>
        <v>labra</v>
      </c>
      <c r="I41" s="67" t="s">
        <v>1167</v>
      </c>
      <c r="J41" s="67" t="s">
        <v>1631</v>
      </c>
      <c r="K41" s="69" t="str">
        <f t="shared" si="1"/>
        <v>labra, patricia</v>
      </c>
      <c r="L41" s="69">
        <f>VLOOKUP(K41,all!$N$2:$O$156,2,FALSE)</f>
        <v>124</v>
      </c>
      <c r="M41" s="69">
        <v>2</v>
      </c>
    </row>
    <row r="42" spans="1:13" ht="13" x14ac:dyDescent="0.25">
      <c r="A42" s="73" t="s">
        <v>1559</v>
      </c>
      <c r="B42" s="67" t="e" cm="1">
        <f t="array" aca="1" ref="B42:C42" ca="1">_xlfn.TEXTSPLIT(A42," ")</f>
        <v>#NAME?</v>
      </c>
      <c r="C42" s="67" t="e">
        <f ca="1"/>
        <v>#NAME?</v>
      </c>
      <c r="E42" s="67" t="s">
        <v>1170</v>
      </c>
      <c r="F42" s="67" t="s">
        <v>1560</v>
      </c>
      <c r="G42" s="67" t="str">
        <f t="shared" si="0"/>
        <v>paulina</v>
      </c>
      <c r="H42" s="67" t="str">
        <f t="shared" si="0"/>
        <v>veloso</v>
      </c>
      <c r="I42" s="67" t="s">
        <v>1172</v>
      </c>
      <c r="J42" s="67" t="s">
        <v>1632</v>
      </c>
      <c r="K42" s="69" t="str">
        <f t="shared" si="1"/>
        <v>veloso, paulina</v>
      </c>
      <c r="L42" s="69">
        <f>VLOOKUP(K42,all!$N$2:$O$156,2,FALSE)</f>
        <v>127</v>
      </c>
      <c r="M42" s="69">
        <v>2</v>
      </c>
    </row>
    <row r="43" spans="1:13" ht="13" x14ac:dyDescent="0.25">
      <c r="A43" s="73" t="s">
        <v>1561</v>
      </c>
      <c r="B43" s="67" t="e" cm="1">
        <f t="array" aca="1" ref="B43:C43" ca="1">_xlfn.TEXTSPLIT(A43," ")</f>
        <v>#NAME?</v>
      </c>
      <c r="C43" s="67" t="e">
        <f ca="1"/>
        <v>#NAME?</v>
      </c>
      <c r="E43" s="67" t="s">
        <v>1562</v>
      </c>
      <c r="F43" s="67" t="s">
        <v>1563</v>
      </c>
      <c r="G43" s="67" t="str">
        <f t="shared" si="0"/>
        <v>pedro</v>
      </c>
      <c r="H43" s="67" t="str">
        <f t="shared" si="0"/>
        <v>muñoz</v>
      </c>
      <c r="I43" s="67" t="s">
        <v>1564</v>
      </c>
      <c r="J43" s="67" t="s">
        <v>1633</v>
      </c>
      <c r="K43" s="69" t="str">
        <f t="shared" si="1"/>
        <v>munoz, pedro</v>
      </c>
      <c r="L43" s="69">
        <f>VLOOKUP(K43,all!$N$2:$O$156,2,FALSE)</f>
        <v>129</v>
      </c>
      <c r="M43" s="69">
        <v>2</v>
      </c>
    </row>
    <row r="44" spans="1:13" ht="13" x14ac:dyDescent="0.25">
      <c r="A44" s="73" t="s">
        <v>1565</v>
      </c>
      <c r="B44" s="67" t="e" cm="1">
        <f t="array" aca="1" ref="B44:C44" ca="1">_xlfn.TEXTSPLIT(A44," ")</f>
        <v>#NAME?</v>
      </c>
      <c r="C44" s="67" t="e">
        <f ca="1"/>
        <v>#NAME?</v>
      </c>
      <c r="E44" s="67" t="s">
        <v>1566</v>
      </c>
      <c r="F44" s="67" t="s">
        <v>1567</v>
      </c>
      <c r="G44" s="67" t="str">
        <f t="shared" si="0"/>
        <v>ramona</v>
      </c>
      <c r="H44" s="67" t="str">
        <f t="shared" si="0"/>
        <v>reyes</v>
      </c>
      <c r="I44" s="67" t="s">
        <v>1568</v>
      </c>
      <c r="J44" s="67" t="s">
        <v>1634</v>
      </c>
      <c r="K44" s="69" t="s">
        <v>895</v>
      </c>
      <c r="L44" s="69">
        <f>VLOOKUP(K44,all!$N$2:$O$156,2,FALSE)</f>
        <v>111</v>
      </c>
      <c r="M44" s="69">
        <v>2</v>
      </c>
    </row>
    <row r="45" spans="1:13" ht="13" x14ac:dyDescent="0.25">
      <c r="A45" s="73" t="s">
        <v>1569</v>
      </c>
      <c r="B45" s="67" t="e" cm="1">
        <f t="array" aca="1" ref="B45:C45" ca="1">_xlfn.TEXTSPLIT(A45," ")</f>
        <v>#NAME?</v>
      </c>
      <c r="C45" s="67" t="e">
        <f ca="1"/>
        <v>#NAME?</v>
      </c>
      <c r="E45" s="67" t="s">
        <v>1570</v>
      </c>
      <c r="F45" s="67" t="s">
        <v>1571</v>
      </c>
      <c r="G45" s="67" t="str">
        <f t="shared" si="0"/>
        <v>raúl</v>
      </c>
      <c r="H45" s="67" t="str">
        <f t="shared" si="0"/>
        <v>celis</v>
      </c>
      <c r="I45" s="67" t="s">
        <v>1572</v>
      </c>
      <c r="J45" s="67" t="s">
        <v>1635</v>
      </c>
      <c r="K45" s="69" t="str">
        <f t="shared" si="1"/>
        <v>celis, raul</v>
      </c>
      <c r="L45" s="69">
        <f>VLOOKUP(K45,all!$N$2:$O$156,2,FALSE)</f>
        <v>131</v>
      </c>
      <c r="M45" s="69">
        <v>2</v>
      </c>
    </row>
    <row r="46" spans="1:13" ht="13" x14ac:dyDescent="0.25">
      <c r="A46" s="73" t="s">
        <v>1573</v>
      </c>
      <c r="B46" s="67" t="e" cm="1">
        <f t="array" aca="1" ref="B46:C46" ca="1">_xlfn.TEXTSPLIT(A46," ")</f>
        <v>#NAME?</v>
      </c>
      <c r="C46" s="67" t="e">
        <f ca="1"/>
        <v>#NAME?</v>
      </c>
      <c r="E46" s="67" t="s">
        <v>1394</v>
      </c>
      <c r="F46" s="67" t="s">
        <v>1574</v>
      </c>
      <c r="G46" s="67" t="str">
        <f t="shared" si="0"/>
        <v>ricardo</v>
      </c>
      <c r="H46" s="67" t="str">
        <f t="shared" si="0"/>
        <v>montero</v>
      </c>
      <c r="I46" s="67" t="s">
        <v>1396</v>
      </c>
      <c r="J46" s="67" t="s">
        <v>1636</v>
      </c>
      <c r="K46" s="69" t="str">
        <f t="shared" si="1"/>
        <v>montero, ricardo</v>
      </c>
      <c r="L46" s="69">
        <f>VLOOKUP(K46,all!$N$2:$O$156,2,FALSE)</f>
        <v>134</v>
      </c>
      <c r="M46" s="69">
        <v>2</v>
      </c>
    </row>
    <row r="47" spans="1:13" ht="13" x14ac:dyDescent="0.25">
      <c r="A47" s="73" t="s">
        <v>1575</v>
      </c>
      <c r="B47" s="67" t="e" cm="1">
        <f t="array" aca="1" ref="B47:C47" ca="1">_xlfn.TEXTSPLIT(A47," ")</f>
        <v>#NAME?</v>
      </c>
      <c r="C47" s="67" t="e">
        <f ca="1"/>
        <v>#NAME?</v>
      </c>
      <c r="E47" s="67" t="s">
        <v>1399</v>
      </c>
      <c r="F47" s="67" t="s">
        <v>1576</v>
      </c>
      <c r="G47" s="67" t="str">
        <f t="shared" si="0"/>
        <v>roberto</v>
      </c>
      <c r="H47" s="67" t="str">
        <f t="shared" si="0"/>
        <v>vega</v>
      </c>
      <c r="I47" s="67" t="s">
        <v>1401</v>
      </c>
      <c r="J47" s="67" t="s">
        <v>1637</v>
      </c>
      <c r="K47" s="69" t="str">
        <f t="shared" si="1"/>
        <v>vega, roberto</v>
      </c>
      <c r="L47" s="69">
        <f>VLOOKUP(K47,all!$N$2:$O$156,2,FALSE)</f>
        <v>136</v>
      </c>
      <c r="M47" s="69">
        <v>2</v>
      </c>
    </row>
    <row r="48" spans="1:13" ht="13" x14ac:dyDescent="0.25">
      <c r="A48" s="73" t="s">
        <v>1577</v>
      </c>
      <c r="B48" s="67" t="e" cm="1">
        <f t="array" aca="1" ref="B48:C48" ca="1">_xlfn.TEXTSPLIT(A48," ")</f>
        <v>#NAME?</v>
      </c>
      <c r="C48" s="67" t="e">
        <f ca="1"/>
        <v>#NAME?</v>
      </c>
      <c r="E48" s="67" t="s">
        <v>1175</v>
      </c>
      <c r="F48" s="67" t="s">
        <v>1504</v>
      </c>
      <c r="G48" s="67" t="str">
        <f t="shared" si="0"/>
        <v>rodrigo</v>
      </c>
      <c r="H48" s="67" t="str">
        <f t="shared" si="0"/>
        <v>álvarez</v>
      </c>
      <c r="I48" s="67" t="s">
        <v>1177</v>
      </c>
      <c r="J48" s="67" t="s">
        <v>1618</v>
      </c>
      <c r="K48" s="69" t="str">
        <f t="shared" si="1"/>
        <v>alvarez, rodrigo</v>
      </c>
      <c r="L48" s="69">
        <f>VLOOKUP(K48,all!$N$2:$O$156,2,FALSE)</f>
        <v>138</v>
      </c>
      <c r="M48" s="69">
        <v>2</v>
      </c>
    </row>
    <row r="49" spans="1:13" ht="13" x14ac:dyDescent="0.25">
      <c r="A49" s="74" t="s">
        <v>1578</v>
      </c>
      <c r="B49" s="67" t="e" cm="1">
        <f t="array" aca="1" ref="B49:C49" ca="1">_xlfn.TEXTSPLIT(A49," ")</f>
        <v>#NAME?</v>
      </c>
      <c r="C49" s="67" t="e">
        <f ca="1"/>
        <v>#NAME?</v>
      </c>
      <c r="E49" s="67" t="s">
        <v>1579</v>
      </c>
      <c r="F49" s="67" t="s">
        <v>1580</v>
      </c>
      <c r="G49" s="67" t="str">
        <f t="shared" si="0"/>
        <v>ruggero</v>
      </c>
      <c r="H49" s="67" t="str">
        <f t="shared" si="0"/>
        <v>cozzi</v>
      </c>
      <c r="I49" s="67" t="s">
        <v>1581</v>
      </c>
      <c r="J49" s="67" t="s">
        <v>1638</v>
      </c>
      <c r="K49" s="69" t="str">
        <f t="shared" si="1"/>
        <v>cozzi, ruggero</v>
      </c>
      <c r="L49" s="69">
        <f>VLOOKUP(K49,all!$N$2:$O$156,2,FALSE)</f>
        <v>143</v>
      </c>
      <c r="M49" s="69">
        <v>2</v>
      </c>
    </row>
    <row r="50" spans="1:13" ht="13" x14ac:dyDescent="0.25">
      <c r="A50" s="73" t="s">
        <v>1582</v>
      </c>
      <c r="B50" s="67" t="e" cm="1">
        <f t="array" aca="1" ref="B50:C50" ca="1">_xlfn.TEXTSPLIT(A50," ")</f>
        <v>#NAME?</v>
      </c>
      <c r="C50" s="67" t="e">
        <f ca="1"/>
        <v>#NAME?</v>
      </c>
      <c r="E50" s="67" t="s">
        <v>1583</v>
      </c>
      <c r="F50" s="67" t="s">
        <v>1584</v>
      </c>
      <c r="G50" s="67" t="str">
        <f t="shared" si="0"/>
        <v>tatiana</v>
      </c>
      <c r="H50" s="67" t="str">
        <f t="shared" si="0"/>
        <v>urrutia</v>
      </c>
      <c r="I50" s="67" t="s">
        <v>1585</v>
      </c>
      <c r="J50" s="67" t="s">
        <v>1639</v>
      </c>
      <c r="K50" s="69" t="str">
        <f t="shared" si="1"/>
        <v>urrutia, tatiana</v>
      </c>
      <c r="L50" s="69">
        <f>VLOOKUP(K50,all!$N$2:$O$156,2,FALSE)</f>
        <v>147</v>
      </c>
      <c r="M50" s="69">
        <v>2</v>
      </c>
    </row>
    <row r="51" spans="1:13" ht="13" x14ac:dyDescent="0.25">
      <c r="A51" s="73" t="s">
        <v>1586</v>
      </c>
      <c r="B51" s="67" t="e" cm="1">
        <f t="array" aca="1" ref="B51:C51" ca="1">_xlfn.TEXTSPLIT(A51," ")</f>
        <v>#NAME?</v>
      </c>
      <c r="C51" s="67" t="e">
        <f ca="1"/>
        <v>#NAME?</v>
      </c>
      <c r="E51" s="67" t="s">
        <v>1587</v>
      </c>
      <c r="F51" s="67" t="s">
        <v>1588</v>
      </c>
      <c r="G51" s="67" t="str">
        <f t="shared" si="0"/>
        <v>tomás</v>
      </c>
      <c r="H51" s="67" t="str">
        <f t="shared" si="0"/>
        <v>laibe</v>
      </c>
      <c r="I51" s="67" t="s">
        <v>1589</v>
      </c>
      <c r="J51" s="67" t="s">
        <v>1640</v>
      </c>
      <c r="K51" s="69" t="str">
        <f t="shared" si="1"/>
        <v>laibe, tomas</v>
      </c>
      <c r="L51" s="69">
        <f>VLOOKUP(K51,all!$N$2:$O$156,2,FALSE)</f>
        <v>150</v>
      </c>
      <c r="M51" s="69">
        <v>2</v>
      </c>
    </row>
    <row r="52" spans="1:13" ht="13" x14ac:dyDescent="0.25">
      <c r="A52" s="73" t="s">
        <v>1590</v>
      </c>
      <c r="B52" s="67" t="e" cm="1">
        <f t="array" aca="1" ref="B52:C52" ca="1">_xlfn.TEXTSPLIT(A52," ")</f>
        <v>#NAME?</v>
      </c>
      <c r="C52" s="67" t="e">
        <f ca="1"/>
        <v>#NAME?</v>
      </c>
      <c r="E52" s="67" t="s">
        <v>1591</v>
      </c>
      <c r="F52" s="67" t="s">
        <v>1592</v>
      </c>
      <c r="G52" s="67" t="str">
        <f t="shared" si="0"/>
        <v>valentina</v>
      </c>
      <c r="H52" s="67" t="str">
        <f t="shared" si="0"/>
        <v>miranda</v>
      </c>
      <c r="I52" s="67" t="s">
        <v>1593</v>
      </c>
      <c r="J52" s="67" t="s">
        <v>1641</v>
      </c>
      <c r="K52" s="69" t="str">
        <f t="shared" si="1"/>
        <v>miranda, valentina</v>
      </c>
      <c r="L52" s="69">
        <f>VLOOKUP(K52,all!$N$2:$O$156,2,FALSE)</f>
        <v>151</v>
      </c>
      <c r="M52" s="69">
        <v>2</v>
      </c>
    </row>
    <row r="53" spans="1:13" ht="13" x14ac:dyDescent="0.25">
      <c r="A53" s="73" t="s">
        <v>1594</v>
      </c>
      <c r="B53" s="67" t="e" cm="1">
        <f t="array" aca="1" ref="B53:C53" ca="1">_xlfn.TEXTSPLIT(A53," ")</f>
        <v>#NAME?</v>
      </c>
      <c r="C53" s="67" t="e">
        <f ca="1"/>
        <v>#NAME?</v>
      </c>
      <c r="E53" s="67" t="s">
        <v>1595</v>
      </c>
      <c r="F53" s="67" t="s">
        <v>1280</v>
      </c>
      <c r="G53" s="67" t="str">
        <f t="shared" si="0"/>
        <v>yarela</v>
      </c>
      <c r="H53" s="67" t="str">
        <f t="shared" si="0"/>
        <v>gómez</v>
      </c>
      <c r="I53" s="67" t="s">
        <v>1596</v>
      </c>
      <c r="J53" s="67" t="s">
        <v>1282</v>
      </c>
      <c r="K53" s="69" t="str">
        <f t="shared" si="1"/>
        <v>gomez, yarela</v>
      </c>
      <c r="L53" s="69">
        <f>VLOOKUP(K53,all!$N$2:$O$156,2,FALSE)</f>
        <v>155</v>
      </c>
      <c r="M53" s="69">
        <v>2</v>
      </c>
    </row>
  </sheetData>
  <mergeCells count="4">
    <mergeCell ref="B1:C1"/>
    <mergeCell ref="E1:F1"/>
    <mergeCell ref="G1:H1"/>
    <mergeCell ref="I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clean</vt:lpstr>
      <vt:lpstr>partidos_indep</vt:lpstr>
      <vt:lpstr>ref</vt:lpstr>
      <vt:lpstr>pacto</vt:lpstr>
      <vt:lpstr>perfiles</vt:lpstr>
      <vt:lpstr>VOTACIONES POR INFORME Y NS</vt:lpstr>
      <vt:lpstr>apellido_nombre</vt:lpstr>
      <vt:lpstr>all</vt:lpstr>
      <vt:lpstr>inp_ip_mp</vt:lpstr>
      <vt:lpstr>inp</vt:lpstr>
      <vt:lpstr>ip</vt:lpstr>
      <vt:lpstr>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Danilo Buscatto Medeiros</cp:lastModifiedBy>
  <dcterms:created xsi:type="dcterms:W3CDTF">2022-05-10T18:53:00Z</dcterms:created>
  <dcterms:modified xsi:type="dcterms:W3CDTF">2024-05-03T14:41:39Z</dcterms:modified>
</cp:coreProperties>
</file>